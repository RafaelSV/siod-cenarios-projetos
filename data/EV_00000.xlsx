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\Documents\Mestrado\Projeto\modelagem_leizer-main\modelagem_leizer-main\Modelo\"/>
    </mc:Choice>
  </mc:AlternateContent>
  <xr:revisionPtr revIDLastSave="0" documentId="13_ncr:1_{0284FA76-329B-4ED3-B877-FF9446854B3C}" xr6:coauthVersionLast="47" xr6:coauthVersionMax="47" xr10:uidLastSave="{00000000-0000-0000-0000-000000000000}"/>
  <bookViews>
    <workbookView xWindow="-120" yWindow="-120" windowWidth="29040" windowHeight="15720" activeTab="2" xr2:uid="{A7CC8E1A-EC12-4A9C-BA80-6AACD1CD2892}"/>
  </bookViews>
  <sheets>
    <sheet name="Projeto" sheetId="3" r:id="rId2"/>
    <sheet name="Equipe" sheetId="2" r:id="rId3"/>
    <sheet name="Atividad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C2" i="1"/>
  <c r="C3" i="1"/>
  <c r="C4" i="1"/>
  <c r="AR3" i="1"/>
  <c r="AR4" i="1"/>
  <c r="AR5" i="1"/>
  <c r="AR6" i="1"/>
  <c r="AR7" i="1"/>
  <c r="AR8" i="1"/>
  <c r="AR2" i="1"/>
  <c r="D17" i="3"/>
  <c r="AP3" i="1"/>
  <c r="AQ3" i="1"/>
  <c r="AP4" i="1"/>
  <c r="AQ4" i="1"/>
  <c r="AP5" i="1"/>
  <c r="AQ5" i="1"/>
  <c r="AP6" i="1"/>
  <c r="AQ6" i="1"/>
  <c r="AP7" i="1"/>
  <c r="AQ7" i="1"/>
  <c r="AP8" i="1"/>
  <c r="AQ8" i="1"/>
  <c r="AO3" i="1"/>
  <c r="AO4" i="1" s="1"/>
  <c r="AO5" i="1" s="1"/>
  <c r="AO6" i="1" s="1"/>
  <c r="AO7" i="1" s="1"/>
  <c r="AO8" i="1" s="1"/>
  <c r="W4" i="1"/>
  <c r="X4" i="1"/>
  <c r="Y4" i="1"/>
  <c r="Z4" i="1"/>
  <c r="Z5" i="1" s="1"/>
  <c r="Z6" i="1" s="1"/>
  <c r="Z7" i="1" s="1"/>
  <c r="Z8" i="1" s="1"/>
  <c r="AA4" i="1"/>
  <c r="AA5" i="1" s="1"/>
  <c r="AA6" i="1" s="1"/>
  <c r="AA7" i="1" s="1"/>
  <c r="AA8" i="1" s="1"/>
  <c r="AB4" i="1"/>
  <c r="AB5" i="1" s="1"/>
  <c r="AB6" i="1" s="1"/>
  <c r="AB7" i="1" s="1"/>
  <c r="AB8" i="1" s="1"/>
  <c r="W5" i="1"/>
  <c r="W6" i="1" s="1"/>
  <c r="W7" i="1" s="1"/>
  <c r="W8" i="1" s="1"/>
  <c r="X5" i="1"/>
  <c r="X6" i="1" s="1"/>
  <c r="X7" i="1" s="1"/>
  <c r="X8" i="1" s="1"/>
  <c r="Y5" i="1"/>
  <c r="Y6" i="1" s="1"/>
  <c r="Y7" i="1" s="1"/>
  <c r="Y8" i="1" s="1"/>
  <c r="X3" i="1"/>
  <c r="Y3" i="1"/>
  <c r="Z3" i="1"/>
  <c r="AA3" i="1"/>
  <c r="AB3" i="1"/>
  <c r="W3" i="1"/>
  <c r="I3" i="1"/>
  <c r="I4" i="1" s="1"/>
  <c r="I5" i="1" s="1"/>
  <c r="I6" i="1" s="1"/>
  <c r="I7" i="1" s="1"/>
  <c r="I8" i="1" s="1"/>
  <c r="J3" i="1"/>
  <c r="J4" i="1" s="1"/>
  <c r="J5" i="1" s="1"/>
  <c r="J6" i="1" s="1"/>
  <c r="J7" i="1" s="1"/>
  <c r="J8" i="1" s="1"/>
  <c r="G3" i="1"/>
  <c r="G4" i="1" s="1"/>
  <c r="G5" i="1" s="1"/>
  <c r="G6" i="1" s="1"/>
  <c r="G7" i="1" s="1"/>
  <c r="G8" i="1" s="1"/>
  <c r="H3" i="1"/>
  <c r="H4" i="1" s="1"/>
  <c r="H5" i="1" s="1"/>
  <c r="H6" i="1" s="1"/>
  <c r="H7" i="1" s="1"/>
  <c r="H8" i="1" s="1"/>
  <c r="K2" i="1"/>
  <c r="L2" i="1" s="1"/>
  <c r="AK2" i="1"/>
  <c r="AK3" i="1" s="1"/>
  <c r="AK4" i="1" s="1"/>
  <c r="AJ3" i="1"/>
  <c r="AI3" i="1"/>
  <c r="AI4" i="1" s="1"/>
  <c r="AI5" i="1" s="1"/>
  <c r="AI6" i="1" s="1"/>
  <c r="AI7" i="1" s="1"/>
  <c r="AI8" i="1" s="1"/>
  <c r="F6" i="1"/>
  <c r="T3" i="1"/>
  <c r="T4" i="1" s="1"/>
  <c r="T5" i="1" s="1"/>
  <c r="T6" i="1" s="1"/>
  <c r="T7" i="1" s="1"/>
  <c r="T8" i="1" s="1"/>
  <c r="U3" i="1"/>
  <c r="U4" i="1" s="1"/>
  <c r="U5" i="1" s="1"/>
  <c r="U6" i="1" s="1"/>
  <c r="U7" i="1" s="1"/>
  <c r="U8" i="1" s="1"/>
  <c r="I13" i="3"/>
  <c r="I14" i="3"/>
  <c r="I15" i="3"/>
  <c r="I16" i="3"/>
  <c r="I12" i="3"/>
  <c r="M2" i="1" l="1"/>
  <c r="O2" i="1"/>
  <c r="N2" i="1"/>
  <c r="K3" i="1"/>
  <c r="AK5" i="1"/>
  <c r="AJ4" i="1"/>
  <c r="R3" i="1"/>
  <c r="R4" i="1" s="1"/>
  <c r="R5" i="1" s="1"/>
  <c r="R6" i="1" s="1"/>
  <c r="R7" i="1" s="1"/>
  <c r="R8" i="1" s="1"/>
  <c r="S3" i="1"/>
  <c r="S4" i="1" s="1"/>
  <c r="S5" i="1" s="1"/>
  <c r="S6" i="1" s="1"/>
  <c r="S7" i="1" s="1"/>
  <c r="S8" i="1" s="1"/>
  <c r="V3" i="1"/>
  <c r="V4" i="1" s="1"/>
  <c r="V5" i="1" s="1"/>
  <c r="V6" i="1" s="1"/>
  <c r="V7" i="1" s="1"/>
  <c r="V8" i="1" s="1"/>
  <c r="AC3" i="1"/>
  <c r="AC4" i="1" s="1"/>
  <c r="AC5" i="1" s="1"/>
  <c r="AC6" i="1" s="1"/>
  <c r="AC7" i="1" s="1"/>
  <c r="AC8" i="1" s="1"/>
  <c r="AD3" i="1"/>
  <c r="AD4" i="1" s="1"/>
  <c r="AD5" i="1" s="1"/>
  <c r="AD6" i="1" s="1"/>
  <c r="AD7" i="1" s="1"/>
  <c r="AD8" i="1" s="1"/>
  <c r="AE3" i="1"/>
  <c r="AE4" i="1" s="1"/>
  <c r="AE5" i="1" s="1"/>
  <c r="AE6" i="1" s="1"/>
  <c r="AE7" i="1" s="1"/>
  <c r="AE8" i="1" s="1"/>
  <c r="L3" i="1" l="1"/>
  <c r="O3" i="1"/>
  <c r="N3" i="1"/>
  <c r="M3" i="1"/>
  <c r="AJ5" i="1"/>
  <c r="AK6" i="1"/>
  <c r="G2" i="2"/>
  <c r="H12" i="3"/>
  <c r="H40" i="2"/>
  <c r="H39" i="2"/>
  <c r="C41" i="2"/>
  <c r="D41" i="2" s="1"/>
  <c r="E41" i="2" s="1"/>
  <c r="F41" i="2" s="1"/>
  <c r="G41" i="2" s="1"/>
  <c r="H41" i="2" s="1"/>
  <c r="D38" i="2"/>
  <c r="E38" i="2"/>
  <c r="F38" i="2"/>
  <c r="G38" i="2"/>
  <c r="H38" i="2"/>
  <c r="C38" i="2"/>
  <c r="B39" i="2"/>
  <c r="B40" i="2"/>
  <c r="B41" i="2"/>
  <c r="B38" i="2"/>
  <c r="A38" i="2"/>
  <c r="A39" i="2"/>
  <c r="A40" i="2"/>
  <c r="A41" i="2"/>
  <c r="A37" i="2"/>
  <c r="F2" i="3"/>
  <c r="E2" i="3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2" i="1"/>
  <c r="B2" i="1" s="1"/>
  <c r="A26" i="2"/>
  <c r="A27" i="2"/>
  <c r="A28" i="2"/>
  <c r="A29" i="2"/>
  <c r="A30" i="2"/>
  <c r="A31" i="2"/>
  <c r="A25" i="2"/>
  <c r="G3" i="2"/>
  <c r="G4" i="2"/>
  <c r="G5" i="2"/>
  <c r="C32" i="2"/>
  <c r="D32" i="2"/>
  <c r="E32" i="2"/>
  <c r="B32" i="2"/>
  <c r="M2" i="2"/>
  <c r="G12" i="3"/>
  <c r="G13" i="3"/>
  <c r="G14" i="3"/>
  <c r="F13" i="3"/>
  <c r="F14" i="3"/>
  <c r="F15" i="3"/>
  <c r="F16" i="3"/>
  <c r="F17" i="3"/>
  <c r="F12" i="3"/>
  <c r="E17" i="3"/>
  <c r="E15" i="3"/>
  <c r="E16" i="3" s="1"/>
  <c r="G16" i="3" s="1"/>
  <c r="D3" i="2"/>
  <c r="D4" i="2"/>
  <c r="D5" i="2"/>
  <c r="D2" i="2"/>
  <c r="H2" i="2" s="1"/>
  <c r="G17" i="3" l="1"/>
  <c r="I17" i="3" s="1"/>
  <c r="D18" i="3"/>
  <c r="K4" i="1"/>
  <c r="O4" i="1" s="1"/>
  <c r="AK7" i="1"/>
  <c r="AJ6" i="1"/>
  <c r="C7" i="1"/>
  <c r="C6" i="1"/>
  <c r="H5" i="2"/>
  <c r="H6" i="2" s="1"/>
  <c r="H4" i="2"/>
  <c r="H3" i="2"/>
  <c r="D6" i="1"/>
  <c r="D2" i="1"/>
  <c r="D7" i="1"/>
  <c r="D4" i="1"/>
  <c r="D3" i="1"/>
  <c r="B33" i="2"/>
  <c r="E33" i="2"/>
  <c r="D33" i="2"/>
  <c r="C33" i="2"/>
  <c r="I21" i="2"/>
  <c r="H21" i="2"/>
  <c r="G21" i="2"/>
  <c r="F21" i="2"/>
  <c r="G15" i="3"/>
  <c r="M4" i="2"/>
  <c r="M5" i="2"/>
  <c r="M3" i="2"/>
  <c r="F18" i="3" l="1"/>
  <c r="C8" i="1" s="1"/>
  <c r="E18" i="3"/>
  <c r="G18" i="3" s="1"/>
  <c r="N4" i="1"/>
  <c r="M4" i="1"/>
  <c r="L4" i="1"/>
  <c r="K5" i="1"/>
  <c r="AJ7" i="1"/>
  <c r="AK8" i="1"/>
  <c r="E4" i="1"/>
  <c r="E7" i="1"/>
  <c r="AM7" i="1" s="1"/>
  <c r="E6" i="1"/>
  <c r="E3" i="1"/>
  <c r="D5" i="1"/>
  <c r="E5" i="1" s="1"/>
  <c r="H29" i="2"/>
  <c r="H30" i="2"/>
  <c r="H31" i="2"/>
  <c r="H25" i="2"/>
  <c r="H26" i="2"/>
  <c r="H27" i="2"/>
  <c r="H28" i="2"/>
  <c r="F26" i="2"/>
  <c r="F27" i="2"/>
  <c r="F28" i="2"/>
  <c r="F29" i="2"/>
  <c r="F30" i="2"/>
  <c r="F31" i="2"/>
  <c r="F25" i="2"/>
  <c r="G29" i="2"/>
  <c r="G30" i="2"/>
  <c r="G31" i="2"/>
  <c r="G26" i="2"/>
  <c r="G27" i="2"/>
  <c r="G28" i="2"/>
  <c r="G25" i="2"/>
  <c r="I28" i="2"/>
  <c r="I29" i="2"/>
  <c r="I30" i="2"/>
  <c r="I31" i="2"/>
  <c r="I25" i="2"/>
  <c r="I26" i="2"/>
  <c r="I27" i="2"/>
  <c r="E2" i="1"/>
  <c r="I18" i="3" l="1"/>
  <c r="D8" i="1"/>
  <c r="E8" i="1" s="1"/>
  <c r="AF8" i="1" s="1"/>
  <c r="L5" i="1"/>
  <c r="O5" i="1"/>
  <c r="M5" i="1"/>
  <c r="N5" i="1"/>
  <c r="K6" i="1"/>
  <c r="AM6" i="1"/>
  <c r="AM5" i="1"/>
  <c r="AL5" i="1"/>
  <c r="AL3" i="1"/>
  <c r="AM3" i="1"/>
  <c r="AM4" i="1"/>
  <c r="AL4" i="1"/>
  <c r="AM8" i="1"/>
  <c r="AL6" i="1"/>
  <c r="AF2" i="1"/>
  <c r="AL2" i="1"/>
  <c r="AM2" i="1"/>
  <c r="AJ8" i="1"/>
  <c r="AL8" i="1" s="1"/>
  <c r="AL7" i="1"/>
  <c r="AG2" i="1"/>
  <c r="AF5" i="1"/>
  <c r="AG5" i="1"/>
  <c r="AF3" i="1"/>
  <c r="AG3" i="1"/>
  <c r="AF6" i="1"/>
  <c r="AG6" i="1"/>
  <c r="AG8" i="1"/>
  <c r="AG7" i="1"/>
  <c r="AF7" i="1"/>
  <c r="AF4" i="1"/>
  <c r="AG4" i="1"/>
  <c r="G32" i="2"/>
  <c r="G33" i="2" s="1"/>
  <c r="J31" i="2"/>
  <c r="J29" i="2"/>
  <c r="J28" i="2"/>
  <c r="H32" i="2"/>
  <c r="H33" i="2" s="1"/>
  <c r="I32" i="2"/>
  <c r="I33" i="2" s="1"/>
  <c r="F32" i="2"/>
  <c r="F33" i="2" s="1"/>
  <c r="J25" i="2"/>
  <c r="J30" i="2"/>
  <c r="J27" i="2"/>
  <c r="J26" i="2"/>
  <c r="AH2" i="1" l="1"/>
  <c r="P5" i="1"/>
  <c r="K8" i="1"/>
  <c r="N8" i="1" s="1"/>
  <c r="K7" i="1"/>
  <c r="L6" i="1"/>
  <c r="O6" i="1"/>
  <c r="M6" i="1"/>
  <c r="N6" i="1"/>
  <c r="AN6" i="1"/>
  <c r="AH6" i="1"/>
  <c r="AN5" i="1"/>
  <c r="AH5" i="1"/>
  <c r="F3" i="1"/>
  <c r="P3" i="1" s="1"/>
  <c r="H13" i="3"/>
  <c r="F4" i="1"/>
  <c r="P4" i="1" s="1"/>
  <c r="H14" i="3"/>
  <c r="F7" i="1"/>
  <c r="H17" i="3"/>
  <c r="F2" i="1"/>
  <c r="P2" i="1" s="1"/>
  <c r="H15" i="3"/>
  <c r="H16" i="3"/>
  <c r="F8" i="1"/>
  <c r="H18" i="3"/>
  <c r="J32" i="2"/>
  <c r="J33" i="2" s="1"/>
  <c r="P6" i="1" l="1"/>
  <c r="L7" i="1"/>
  <c r="O7" i="1"/>
  <c r="M7" i="1"/>
  <c r="N7" i="1"/>
  <c r="L8" i="1"/>
  <c r="O8" i="1"/>
  <c r="M8" i="1"/>
  <c r="AN8" i="1"/>
  <c r="AN7" i="1"/>
  <c r="AH4" i="1"/>
  <c r="AH3" i="1"/>
  <c r="AN3" i="1"/>
  <c r="AH7" i="1"/>
  <c r="AN2" i="1"/>
  <c r="AN4" i="1"/>
  <c r="AH8" i="1"/>
  <c r="Q4" i="1"/>
  <c r="Q7" i="1"/>
  <c r="Q8" i="1"/>
  <c r="Q6" i="1"/>
  <c r="Q5" i="1"/>
  <c r="Q2" i="1"/>
  <c r="Q3" i="1"/>
  <c r="H19" i="3"/>
  <c r="H2" i="3" s="1"/>
  <c r="G2" i="3" s="1"/>
  <c r="P8" i="1" l="1"/>
  <c r="P7" i="1"/>
</calcChain>
</file>

<file path=xl/sharedStrings.xml><?xml version="1.0" encoding="utf-8"?>
<sst xmlns="http://schemas.openxmlformats.org/spreadsheetml/2006/main" count="127" uniqueCount="118">
  <si>
    <t>wu</t>
  </si>
  <si>
    <t>member_id</t>
  </si>
  <si>
    <t>project_id</t>
  </si>
  <si>
    <t>project_cost_tu</t>
  </si>
  <si>
    <t>project_cost_wu</t>
  </si>
  <si>
    <t>task_id</t>
  </si>
  <si>
    <t>task_notes</t>
  </si>
  <si>
    <t>predecessors</t>
  </si>
  <si>
    <t>EV-00000</t>
  </si>
  <si>
    <t>1,2,3</t>
  </si>
  <si>
    <t>project_date_ini</t>
  </si>
  <si>
    <t>Validar %</t>
  </si>
  <si>
    <t>Não temos as medições, mas temos a evolução % do WD no relatório gerencial</t>
  </si>
  <si>
    <t>expected_date_ini</t>
  </si>
  <si>
    <t>expected_ini_tu</t>
  </si>
  <si>
    <t>expected_date_end</t>
  </si>
  <si>
    <t>expected_end_tu</t>
  </si>
  <si>
    <t>Descrição Atividade 1</t>
  </si>
  <si>
    <t>Descrição Atividade 2</t>
  </si>
  <si>
    <t>Descrição Atividade 3</t>
  </si>
  <si>
    <t>Descrição Atividade 4</t>
  </si>
  <si>
    <t>Descrição Atividade 5</t>
  </si>
  <si>
    <t>Descrição Atividade 6</t>
  </si>
  <si>
    <t>Descrição Atividade 7</t>
  </si>
  <si>
    <t>expected_duration</t>
  </si>
  <si>
    <t>Padrões SIGITEC:</t>
  </si>
  <si>
    <t>semanas</t>
  </si>
  <si>
    <t xml:space="preserve">1 mês = </t>
  </si>
  <si>
    <t>project_duration</t>
  </si>
  <si>
    <t>em meses</t>
  </si>
  <si>
    <t>project_cost</t>
  </si>
  <si>
    <t>Em R$</t>
  </si>
  <si>
    <t>project_cost_per_wu</t>
  </si>
  <si>
    <t>project_cost_per_tu</t>
  </si>
  <si>
    <t>tu</t>
  </si>
  <si>
    <t>wu/h</t>
  </si>
  <si>
    <t>h/tu</t>
  </si>
  <si>
    <t>meses</t>
  </si>
  <si>
    <t>WTD_dedication</t>
  </si>
  <si>
    <t>WQA_dedication</t>
  </si>
  <si>
    <t>WRC_dedication</t>
  </si>
  <si>
    <t>WAP_dedication</t>
  </si>
  <si>
    <t>Validação</t>
  </si>
  <si>
    <t>tu (semanas)</t>
  </si>
  <si>
    <t>Usaremos time units = semana</t>
  </si>
  <si>
    <t>Name 01</t>
  </si>
  <si>
    <t>Name 02</t>
  </si>
  <si>
    <t>Name 03</t>
  </si>
  <si>
    <t>Name 04</t>
  </si>
  <si>
    <t>member_expected_wu</t>
  </si>
  <si>
    <t>member_expected_wu = trabalho esperado para o membro no projeto [wu]</t>
  </si>
  <si>
    <t>Alocação da equipe nas tarefas do projeto</t>
  </si>
  <si>
    <t>name</t>
  </si>
  <si>
    <t>num_month</t>
  </si>
  <si>
    <t>profile</t>
  </si>
  <si>
    <t>dedication</t>
  </si>
  <si>
    <t>capacity</t>
  </si>
  <si>
    <t>num_month = numero de meses que o membro vai dedicar ao projeto [meses]</t>
  </si>
  <si>
    <t>dedication_tu</t>
  </si>
  <si>
    <t>dedication_tu = número de semanas que o membro vai dedicar ao projeto [tu]. Usa padrão SIGITEC de 1 mês = 4,4 semanas</t>
  </si>
  <si>
    <t>profile = capacidade de trabalho em função do perfil profissional  [wu/h]</t>
  </si>
  <si>
    <t>dedication = dedicação do membro em hs semanais [h/tu]</t>
  </si>
  <si>
    <t>wu/tu</t>
  </si>
  <si>
    <t>capacity = capacidade de produção semanal de trabalho no projeto [wu/tu]</t>
  </si>
  <si>
    <t>membros da equipe</t>
  </si>
  <si>
    <t>expected_wu</t>
  </si>
  <si>
    <t>expected_wu é a quantidade de trabalho estimada para a realização da tarefa. Inicialmente, nos baseamos como sendo a própria capacidade da equipe</t>
  </si>
  <si>
    <t>Validação Referência</t>
  </si>
  <si>
    <t xml:space="preserve">Total de wu esperado para cumprir as diversas atividades do projeto = </t>
  </si>
  <si>
    <t>Parte das tabelas acima são oriundas de um cronograma SIGITEC</t>
  </si>
  <si>
    <t xml:space="preserve">Semanas  = </t>
  </si>
  <si>
    <t>em semanas</t>
  </si>
  <si>
    <t xml:space="preserve">Saldo = </t>
  </si>
  <si>
    <t>Capacidade do membro</t>
  </si>
  <si>
    <t>Task_id</t>
  </si>
  <si>
    <t>Cada célula tem a capacidade média dada no perfil (Tabela SIGITEC) ou parâmetros de uma sigmiodal personalizada para o membro, por tarefa</t>
  </si>
  <si>
    <t>Perfil</t>
  </si>
  <si>
    <t>Este custo pode ser do total do projeto ou apenas o custo da equipe executora</t>
  </si>
  <si>
    <t>expected_workrate</t>
  </si>
  <si>
    <t>Pgestor</t>
  </si>
  <si>
    <t>expected_Rew</t>
  </si>
  <si>
    <t>expected_WU</t>
  </si>
  <si>
    <t>expected_PCron</t>
  </si>
  <si>
    <t>PC_Param_Med</t>
  </si>
  <si>
    <t>PC_DispersaoE</t>
  </si>
  <si>
    <t>PC_DispersaoD</t>
  </si>
  <si>
    <t>PC_sigma_e</t>
  </si>
  <si>
    <t>PC_sigma_d</t>
  </si>
  <si>
    <t>PC_Amplitude</t>
  </si>
  <si>
    <t>perc_rew</t>
  </si>
  <si>
    <t>r_rew</t>
  </si>
  <si>
    <t>r_WU</t>
  </si>
  <si>
    <t>r_Pcron</t>
  </si>
  <si>
    <t>r_Pgestor</t>
  </si>
  <si>
    <t>task_description</t>
  </si>
  <si>
    <t>WTD</t>
  </si>
  <si>
    <t>WD</t>
  </si>
  <si>
    <t>WU</t>
  </si>
  <si>
    <t>WPCron</t>
  </si>
  <si>
    <t>WPGestor</t>
  </si>
  <si>
    <t>WRew</t>
  </si>
  <si>
    <t>RWTD</t>
  </si>
  <si>
    <t>RWD</t>
  </si>
  <si>
    <t>RWU</t>
  </si>
  <si>
    <t>RWRew</t>
  </si>
  <si>
    <t>RWPCron</t>
  </si>
  <si>
    <t>RWPGestor</t>
  </si>
  <si>
    <t>Enable</t>
  </si>
  <si>
    <t>EnableEfetivo</t>
  </si>
  <si>
    <t>Done</t>
  </si>
  <si>
    <t>WU_Param_Med</t>
  </si>
  <si>
    <t>WU_DispersaoE</t>
  </si>
  <si>
    <t>WU_DispersaoD</t>
  </si>
  <si>
    <t>WU_sigma_e</t>
  </si>
  <si>
    <t>WU_sigma_d</t>
  </si>
  <si>
    <t>WU_Amplitude</t>
  </si>
  <si>
    <t>4,5</t>
  </si>
  <si>
    <t>predecessoras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</si>
</sst>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0.0"/>
    <numFmt numFmtId="165" formatCode="0.000"/>
    <numFmt numFmtId="166" formatCode="0.0000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rgb="FFFFFFFF"/>
      <name val="Verdana"/>
      <family val="2"/>
    </font>
    <font>
      <sz val="14"/>
      <color theme="1"/>
      <name val="Aptos Narrow"/>
      <family val="2"/>
      <scheme val="minor"/>
    </font>
    <font>
      <sz val="14"/>
      <color rgb="FF000000"/>
      <name val="Verdana"/>
      <family val="2"/>
    </font>
    <font>
      <sz val="14"/>
      <color theme="7"/>
      <name val="Verdana"/>
      <family val="2"/>
    </font>
    <font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FF0000"/>
      <name val="Verdana"/>
      <family val="2"/>
    </font>
    <font>
      <sz val="18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u/>
      <sz val="11"/>
      <color theme="7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3AF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999999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indexed="64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indexed="64"/>
      </left>
      <right style="medium">
        <color rgb="FF999999"/>
      </right>
      <top style="medium">
        <color rgb="FF999999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2" borderId="0" xfId="0" applyFill="1"/>
    <xf numFmtId="0" fontId="1" fillId="4" borderId="1" xfId="0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9" fontId="5" fillId="0" borderId="0" xfId="0" applyNumberFormat="1" applyFont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5" fillId="0" borderId="0" xfId="0" applyFont="1"/>
    <xf numFmtId="0" fontId="7" fillId="7" borderId="4" xfId="0" applyFont="1" applyFill="1" applyBorder="1" applyAlignment="1">
      <alignment horizontal="centerContinuous" vertical="center" wrapText="1"/>
    </xf>
    <xf numFmtId="0" fontId="7" fillId="7" borderId="5" xfId="0" applyFont="1" applyFill="1" applyBorder="1" applyAlignment="1">
      <alignment horizontal="centerContinuous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Continuous" vertical="center" wrapText="1"/>
    </xf>
    <xf numFmtId="0" fontId="8" fillId="0" borderId="0" xfId="0" applyFont="1"/>
    <xf numFmtId="0" fontId="7" fillId="7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9" borderId="11" xfId="0" applyFont="1" applyFill="1" applyBorder="1" applyAlignment="1">
      <alignment horizontal="left" vertical="center" wrapText="1"/>
    </xf>
    <xf numFmtId="44" fontId="11" fillId="0" borderId="1" xfId="1" applyFont="1" applyBorder="1" applyAlignment="1">
      <alignment horizontal="center" vertical="center"/>
    </xf>
    <xf numFmtId="44" fontId="12" fillId="0" borderId="0" xfId="1" applyFont="1" applyBorder="1" applyAlignment="1">
      <alignment horizontal="center" vertical="center"/>
    </xf>
    <xf numFmtId="0" fontId="9" fillId="9" borderId="13" xfId="0" applyFont="1" applyFill="1" applyBorder="1" applyAlignment="1">
      <alignment horizontal="left" vertical="center" wrapText="1"/>
    </xf>
    <xf numFmtId="44" fontId="12" fillId="0" borderId="0" xfId="1" applyFont="1" applyAlignment="1">
      <alignment horizontal="center" vertical="center"/>
    </xf>
    <xf numFmtId="0" fontId="13" fillId="9" borderId="13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9" borderId="14" xfId="0" applyFont="1" applyFill="1" applyBorder="1" applyAlignment="1">
      <alignment horizontal="left" vertical="center" wrapText="1"/>
    </xf>
    <xf numFmtId="0" fontId="9" fillId="9" borderId="15" xfId="0" applyFont="1" applyFill="1" applyBorder="1" applyAlignment="1">
      <alignment horizontal="left" vertical="center" wrapText="1"/>
    </xf>
    <xf numFmtId="0" fontId="9" fillId="9" borderId="10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9" fillId="9" borderId="16" xfId="0" applyFont="1" applyFill="1" applyBorder="1" applyAlignment="1">
      <alignment horizontal="left" vertical="center" wrapText="1"/>
    </xf>
    <xf numFmtId="0" fontId="9" fillId="9" borderId="17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3" fontId="4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1" xfId="0" applyFont="1" applyFill="1" applyBorder="1" applyAlignment="1">
      <alignment horizontal="centerContinuous"/>
    </xf>
    <xf numFmtId="0" fontId="0" fillId="4" borderId="1" xfId="0" applyFill="1" applyBorder="1" applyAlignment="1">
      <alignment horizontal="centerContinuous"/>
    </xf>
    <xf numFmtId="3" fontId="5" fillId="3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Continuous"/>
    </xf>
    <xf numFmtId="0" fontId="1" fillId="10" borderId="1" xfId="0" applyFont="1" applyFill="1" applyBorder="1" applyAlignment="1">
      <alignment horizontal="centerContinuous"/>
    </xf>
    <xf numFmtId="3" fontId="5" fillId="6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4" fillId="2" borderId="1" xfId="0" quotePrefix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Continuous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" fillId="11" borderId="2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top"/>
    </xf>
    <xf numFmtId="0" fontId="1" fillId="13" borderId="2" xfId="0" applyFont="1" applyFill="1" applyBorder="1" applyAlignment="1">
      <alignment horizontal="center" vertical="top"/>
    </xf>
    <xf numFmtId="0" fontId="1" fillId="12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horizontal="center" vertical="top"/>
    </xf>
    <xf numFmtId="0" fontId="1" fillId="14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CC"/>
      <color rgb="FFF1F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936E-B939-4714-9610-63788CF7A0B8}">
  <dimension ref="A1:J22"/>
  <sheetViews>
    <sheetView workbookViewId="0">
      <selection activeCell="C12" sqref="C12"/>
    </sheetView>
  </sheetViews>
  <sheetFormatPr defaultRowHeight="14.25"/>
  <cols>
    <col min="1" max="1" width="9.375" style="1" bestFit="1" customWidth="1"/>
    <col min="2" max="2" width="24.75" style="1" customWidth="1"/>
    <col min="3" max="3" width="15.25" style="1" bestFit="1" customWidth="1"/>
    <col min="4" max="4" width="15.25" style="1" customWidth="1"/>
    <col min="5" max="5" width="17.25" style="1" customWidth="1"/>
    <col min="6" max="6" width="17.75" style="1" bestFit="1" customWidth="1"/>
    <col min="7" max="7" width="18.125" style="1" customWidth="1"/>
    <col min="8" max="8" width="16.75" style="1" customWidth="1"/>
    <col min="9" max="9" width="16.375" style="1" customWidth="1"/>
    <col min="11" max="11" width="11.75" bestFit="1" customWidth="1"/>
  </cols>
  <sheetData>
    <row r="1" spans="1:9" ht="15">
      <c r="A1" s="2" t="s">
        <v>2</v>
      </c>
      <c r="B1" s="2" t="s">
        <v>10</v>
      </c>
      <c r="C1" s="2" t="s">
        <v>30</v>
      </c>
      <c r="D1" s="2" t="s">
        <v>28</v>
      </c>
      <c r="E1" s="2" t="s">
        <v>33</v>
      </c>
      <c r="F1" s="2" t="s">
        <v>3</v>
      </c>
      <c r="G1" s="2" t="s">
        <v>32</v>
      </c>
      <c r="H1" s="2" t="s">
        <v>4</v>
      </c>
    </row>
    <row r="2" spans="1:9">
      <c r="A2" s="70" t="s">
        <v>8</v>
      </c>
      <c r="B2" s="14">
        <v>45658</v>
      </c>
      <c r="C2" s="59">
        <v>1000000</v>
      </c>
      <c r="D2" s="58">
        <v>12</v>
      </c>
      <c r="E2" s="56">
        <f>C2/F2</f>
        <v>18939.393939393936</v>
      </c>
      <c r="F2" s="71">
        <f>D2*$B$7</f>
        <v>52.800000000000004</v>
      </c>
      <c r="G2" s="56">
        <f>C2/H2</f>
        <v>18.210955710955712</v>
      </c>
      <c r="H2" s="64">
        <f>H19</f>
        <v>54912</v>
      </c>
    </row>
    <row r="3" spans="1:9">
      <c r="C3" s="1" t="s">
        <v>31</v>
      </c>
      <c r="D3" s="1" t="s">
        <v>29</v>
      </c>
      <c r="F3" s="1" t="s">
        <v>71</v>
      </c>
    </row>
    <row r="4" spans="1:9">
      <c r="C4" s="57" t="s">
        <v>77</v>
      </c>
    </row>
    <row r="6" spans="1:9">
      <c r="A6" s="57" t="s">
        <v>25</v>
      </c>
    </row>
    <row r="7" spans="1:9">
      <c r="A7" s="57" t="s">
        <v>27</v>
      </c>
      <c r="B7" s="1">
        <v>4.4000000000000004</v>
      </c>
      <c r="C7" s="57" t="s">
        <v>26</v>
      </c>
      <c r="D7" s="57"/>
    </row>
    <row r="8" spans="1:9">
      <c r="A8" s="57" t="s">
        <v>44</v>
      </c>
    </row>
    <row r="9" spans="1:9">
      <c r="A9" s="57"/>
    </row>
    <row r="10" spans="1:9">
      <c r="A10" s="57"/>
      <c r="H10"/>
    </row>
    <row r="11" spans="1:9" ht="15">
      <c r="A11" s="7" t="s">
        <v>5</v>
      </c>
      <c r="B11" s="4" t="s">
        <v>6</v>
      </c>
      <c r="C11" s="4" t="s">
        <v>7</v>
      </c>
      <c r="D11" s="4" t="s">
        <v>13</v>
      </c>
      <c r="E11" s="4" t="s">
        <v>15</v>
      </c>
      <c r="F11" s="4" t="s">
        <v>14</v>
      </c>
      <c r="G11" s="4" t="s">
        <v>16</v>
      </c>
      <c r="H11" s="4" t="s">
        <v>65</v>
      </c>
      <c r="I11" s="4" t="s">
        <v>78</v>
      </c>
    </row>
    <row r="12" spans="1:9">
      <c r="A12" s="55">
        <v>1</v>
      </c>
      <c r="B12" s="52" t="s">
        <v>17</v>
      </c>
      <c r="C12" s="53">
        <v>0</v>
      </c>
      <c r="D12" s="14">
        <v>45658</v>
      </c>
      <c r="E12" s="14">
        <v>45747</v>
      </c>
      <c r="F12" s="54">
        <f>INT((D12-$B$2)/7)</f>
        <v>0</v>
      </c>
      <c r="G12" s="54">
        <f>INT((E12-$B$2)/7)</f>
        <v>12</v>
      </c>
      <c r="H12" s="64">
        <f>Equipe!J25</f>
        <v>11580</v>
      </c>
      <c r="I12" s="64">
        <f>H12/(G12-F12)</f>
        <v>965</v>
      </c>
    </row>
    <row r="13" spans="1:9">
      <c r="A13" s="55">
        <v>2</v>
      </c>
      <c r="B13" s="52" t="s">
        <v>18</v>
      </c>
      <c r="C13" s="53">
        <v>0</v>
      </c>
      <c r="D13" s="14">
        <v>45658</v>
      </c>
      <c r="E13" s="14">
        <v>45709</v>
      </c>
      <c r="F13" s="54">
        <f t="shared" ref="F13:G18" si="0">INT((D13-$B$2)/7)</f>
        <v>0</v>
      </c>
      <c r="G13" s="54">
        <f t="shared" si="0"/>
        <v>7</v>
      </c>
      <c r="H13" s="64">
        <f>Equipe!J26</f>
        <v>8440</v>
      </c>
      <c r="I13" s="64">
        <f t="shared" ref="I13:I18" si="1">H13/(G13-F13)</f>
        <v>1205.7142857142858</v>
      </c>
    </row>
    <row r="14" spans="1:9">
      <c r="A14" s="55">
        <v>3</v>
      </c>
      <c r="B14" s="52" t="s">
        <v>19</v>
      </c>
      <c r="C14" s="53">
        <v>0</v>
      </c>
      <c r="D14" s="14">
        <v>45658</v>
      </c>
      <c r="E14" s="14">
        <v>45709</v>
      </c>
      <c r="F14" s="54">
        <f t="shared" si="0"/>
        <v>0</v>
      </c>
      <c r="G14" s="54">
        <f t="shared" si="0"/>
        <v>7</v>
      </c>
      <c r="H14" s="64">
        <f>Equipe!J27</f>
        <v>6780</v>
      </c>
      <c r="I14" s="64">
        <f t="shared" si="1"/>
        <v>968.57142857142856</v>
      </c>
    </row>
    <row r="15" spans="1:9">
      <c r="A15" s="55">
        <v>4</v>
      </c>
      <c r="B15" s="52" t="s">
        <v>20</v>
      </c>
      <c r="C15" s="53" t="s">
        <v>9</v>
      </c>
      <c r="D15" s="14">
        <v>45748</v>
      </c>
      <c r="E15" s="14">
        <f>D15+70</f>
        <v>45818</v>
      </c>
      <c r="F15" s="54">
        <f t="shared" si="0"/>
        <v>12</v>
      </c>
      <c r="G15" s="54">
        <f t="shared" si="0"/>
        <v>22</v>
      </c>
      <c r="H15" s="64">
        <f>Equipe!J28</f>
        <v>9260</v>
      </c>
      <c r="I15" s="64">
        <f t="shared" si="1"/>
        <v>926</v>
      </c>
    </row>
    <row r="16" spans="1:9">
      <c r="A16" s="55">
        <v>5</v>
      </c>
      <c r="B16" s="52" t="s">
        <v>21</v>
      </c>
      <c r="C16" s="53">
        <v>0</v>
      </c>
      <c r="D16" s="14">
        <v>45758</v>
      </c>
      <c r="E16" s="14">
        <f>E15</f>
        <v>45818</v>
      </c>
      <c r="F16" s="54">
        <f t="shared" si="0"/>
        <v>14</v>
      </c>
      <c r="G16" s="54">
        <f t="shared" si="0"/>
        <v>22</v>
      </c>
      <c r="H16" s="64">
        <f>Equipe!J29</f>
        <v>5292</v>
      </c>
      <c r="I16" s="64">
        <f t="shared" si="1"/>
        <v>661.5</v>
      </c>
    </row>
    <row r="17" spans="1:10">
      <c r="A17" s="55">
        <v>6</v>
      </c>
      <c r="B17" s="52" t="s">
        <v>22</v>
      </c>
      <c r="C17" s="53" t="s">
        <v>116</v>
      </c>
      <c r="D17" s="14">
        <f>E16</f>
        <v>45818</v>
      </c>
      <c r="E17" s="14">
        <f>D17+100</f>
        <v>45918</v>
      </c>
      <c r="F17" s="54">
        <f t="shared" si="0"/>
        <v>22</v>
      </c>
      <c r="G17" s="54">
        <f t="shared" si="0"/>
        <v>37</v>
      </c>
      <c r="H17" s="64">
        <f>Equipe!J30</f>
        <v>9300</v>
      </c>
      <c r="I17" s="64">
        <f t="shared" si="1"/>
        <v>620</v>
      </c>
    </row>
    <row r="18" spans="1:10">
      <c r="A18" s="55">
        <v>7</v>
      </c>
      <c r="B18" s="52" t="s">
        <v>23</v>
      </c>
      <c r="C18" s="53">
        <v>6</v>
      </c>
      <c r="D18" s="14">
        <f>E17</f>
        <v>45918</v>
      </c>
      <c r="E18" s="14">
        <f>D18+55</f>
        <v>45973</v>
      </c>
      <c r="F18" s="54">
        <f t="shared" si="0"/>
        <v>37</v>
      </c>
      <c r="G18" s="54">
        <f t="shared" si="0"/>
        <v>45</v>
      </c>
      <c r="H18" s="64">
        <f>Equipe!J31</f>
        <v>4260</v>
      </c>
      <c r="I18" s="64">
        <f t="shared" si="1"/>
        <v>532.5</v>
      </c>
    </row>
    <row r="19" spans="1:10">
      <c r="A19" s="68"/>
      <c r="B19" s="61"/>
      <c r="C19" s="61"/>
      <c r="D19" s="61"/>
      <c r="E19" s="61"/>
      <c r="F19" s="61"/>
      <c r="G19" s="69" t="s">
        <v>68</v>
      </c>
      <c r="H19" s="72">
        <f>SUM(H12:H18)</f>
        <v>54912</v>
      </c>
      <c r="J19" s="1"/>
    </row>
    <row r="20" spans="1:10">
      <c r="J20" s="1"/>
    </row>
    <row r="21" spans="1:10">
      <c r="A21" s="57" t="s">
        <v>69</v>
      </c>
    </row>
    <row r="22" spans="1:10">
      <c r="A22" s="57" t="s">
        <v>66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E885-4737-434D-B067-1FA178D731F9}">
  <dimension ref="A1:P41"/>
  <sheetViews>
    <sheetView topLeftCell="A16" workbookViewId="0">
      <selection activeCell="B25" sqref="B25"/>
    </sheetView>
  </sheetViews>
  <sheetFormatPr defaultRowHeight="14.25"/>
  <cols>
    <col min="1" max="1" width="10.125" style="1" customWidth="1"/>
    <col min="2" max="2" width="9.25" style="1" customWidth="1"/>
    <col min="3" max="3" width="10.375" style="1" customWidth="1"/>
    <col min="4" max="4" width="13.375" style="1" customWidth="1"/>
    <col min="5" max="5" width="9.25" style="1" customWidth="1"/>
    <col min="6" max="6" width="9.25" customWidth="1"/>
    <col min="7" max="7" width="17.125" customWidth="1"/>
    <col min="8" max="8" width="19.75" customWidth="1"/>
    <col min="9" max="9" width="15.125" customWidth="1"/>
    <col min="10" max="10" width="13.625" customWidth="1"/>
    <col min="11" max="12" width="16.875" style="1" customWidth="1"/>
    <col min="13" max="13" width="10.625" style="1" customWidth="1"/>
    <col min="14" max="14" width="10.25" bestFit="1" customWidth="1"/>
    <col min="15" max="15" width="13.125" style="1" customWidth="1"/>
    <col min="16" max="16" width="12.75" style="1" customWidth="1"/>
  </cols>
  <sheetData>
    <row r="1" spans="1:16">
      <c r="A1" s="3" t="s">
        <v>1</v>
      </c>
      <c r="B1" s="3" t="s">
        <v>52</v>
      </c>
      <c r="C1" s="3" t="s">
        <v>53</v>
      </c>
      <c r="D1" s="3" t="s">
        <v>58</v>
      </c>
      <c r="E1" s="3" t="s">
        <v>54</v>
      </c>
      <c r="F1" s="3" t="s">
        <v>55</v>
      </c>
      <c r="G1" s="3" t="s">
        <v>56</v>
      </c>
      <c r="H1" s="3" t="s">
        <v>49</v>
      </c>
      <c r="I1" s="3" t="s">
        <v>38</v>
      </c>
      <c r="J1" s="3" t="s">
        <v>39</v>
      </c>
      <c r="K1" s="3" t="s">
        <v>40</v>
      </c>
      <c r="L1" s="3" t="s">
        <v>41</v>
      </c>
      <c r="M1" s="9" t="s">
        <v>11</v>
      </c>
      <c r="N1" s="10"/>
      <c r="O1"/>
    </row>
    <row r="2" spans="1:16">
      <c r="A2" s="55">
        <v>1</v>
      </c>
      <c r="B2" s="55" t="s">
        <v>45</v>
      </c>
      <c r="C2" s="55">
        <v>12</v>
      </c>
      <c r="D2" s="54">
        <f>C2*Projeto!$B$7</f>
        <v>52.800000000000004</v>
      </c>
      <c r="E2" s="55">
        <v>150</v>
      </c>
      <c r="F2" s="55">
        <v>2</v>
      </c>
      <c r="G2" s="64">
        <f>E2*F2</f>
        <v>300</v>
      </c>
      <c r="H2" s="64">
        <f>ROUND(D2*G2,0)</f>
        <v>15840</v>
      </c>
      <c r="I2" s="8">
        <v>1</v>
      </c>
      <c r="J2" s="8">
        <v>0</v>
      </c>
      <c r="K2" s="8">
        <v>0</v>
      </c>
      <c r="L2" s="8">
        <v>0</v>
      </c>
      <c r="M2" s="13" t="str">
        <f>IF(SUM(I2:L2)=1,"OK!","ERRO!!!")</f>
        <v>OK!</v>
      </c>
      <c r="N2" s="10"/>
      <c r="O2"/>
    </row>
    <row r="3" spans="1:16">
      <c r="A3" s="55">
        <v>2</v>
      </c>
      <c r="B3" s="55" t="s">
        <v>46</v>
      </c>
      <c r="C3" s="55">
        <v>12</v>
      </c>
      <c r="D3" s="54">
        <f>C3*Projeto!$B$7</f>
        <v>52.800000000000004</v>
      </c>
      <c r="E3" s="55">
        <v>30</v>
      </c>
      <c r="F3" s="55">
        <v>8</v>
      </c>
      <c r="G3" s="64">
        <f t="shared" ref="G3:G5" si="0">E3*F3</f>
        <v>240</v>
      </c>
      <c r="H3" s="64">
        <f t="shared" ref="H3:H5" si="1">ROUND(D3*G3,0)</f>
        <v>12672</v>
      </c>
      <c r="I3" s="8">
        <v>1</v>
      </c>
      <c r="J3" s="8">
        <v>0</v>
      </c>
      <c r="K3" s="8">
        <v>0</v>
      </c>
      <c r="L3" s="8">
        <v>0</v>
      </c>
      <c r="M3" s="13" t="str">
        <f>IF(SUM(I3:L3)=1,"OK!","ERRO!!!")</f>
        <v>OK!</v>
      </c>
      <c r="N3" s="10"/>
      <c r="O3"/>
      <c r="P3" s="10"/>
    </row>
    <row r="4" spans="1:16">
      <c r="A4" s="55">
        <v>3</v>
      </c>
      <c r="B4" s="55" t="s">
        <v>47</v>
      </c>
      <c r="C4" s="55">
        <v>6</v>
      </c>
      <c r="D4" s="54">
        <f>C4*Projeto!$B$7</f>
        <v>26.400000000000002</v>
      </c>
      <c r="E4" s="55">
        <v>100</v>
      </c>
      <c r="F4" s="55">
        <v>4</v>
      </c>
      <c r="G4" s="64">
        <f t="shared" si="0"/>
        <v>400</v>
      </c>
      <c r="H4" s="64">
        <f t="shared" si="1"/>
        <v>10560</v>
      </c>
      <c r="I4" s="8">
        <v>1</v>
      </c>
      <c r="J4" s="8">
        <v>0</v>
      </c>
      <c r="K4" s="8">
        <v>0</v>
      </c>
      <c r="L4" s="8">
        <v>0</v>
      </c>
      <c r="M4" s="13" t="str">
        <f>IF(SUM(I4:L4)=1,"OK!","ERRO!!!")</f>
        <v>OK!</v>
      </c>
      <c r="N4" s="10"/>
      <c r="O4"/>
      <c r="P4" s="10"/>
    </row>
    <row r="5" spans="1:16">
      <c r="A5" s="55">
        <v>4</v>
      </c>
      <c r="B5" s="55" t="s">
        <v>48</v>
      </c>
      <c r="C5" s="55">
        <v>12</v>
      </c>
      <c r="D5" s="54">
        <f>C5*Projeto!$B$7</f>
        <v>52.800000000000004</v>
      </c>
      <c r="E5" s="55">
        <v>300</v>
      </c>
      <c r="F5" s="55">
        <v>1</v>
      </c>
      <c r="G5" s="64">
        <f t="shared" si="0"/>
        <v>300</v>
      </c>
      <c r="H5" s="64">
        <f t="shared" si="1"/>
        <v>15840</v>
      </c>
      <c r="I5" s="8">
        <v>1</v>
      </c>
      <c r="J5" s="8">
        <v>0</v>
      </c>
      <c r="K5" s="8">
        <v>0</v>
      </c>
      <c r="L5" s="8">
        <v>0</v>
      </c>
      <c r="M5" s="13" t="str">
        <f>IF(SUM(I5:L5)=1,"OK!","ERRO!!!")</f>
        <v>OK!</v>
      </c>
      <c r="N5" s="10"/>
      <c r="O5"/>
      <c r="P5" s="10"/>
    </row>
    <row r="6" spans="1:16">
      <c r="C6" s="1" t="s">
        <v>37</v>
      </c>
      <c r="D6" s="1" t="s">
        <v>26</v>
      </c>
      <c r="E6" s="1" t="s">
        <v>76</v>
      </c>
      <c r="G6" s="16" t="s">
        <v>67</v>
      </c>
      <c r="H6" s="67">
        <f>SUM(H2:H5)</f>
        <v>54912</v>
      </c>
      <c r="K6"/>
      <c r="L6"/>
      <c r="N6" s="1"/>
      <c r="O6"/>
    </row>
    <row r="7" spans="1:16">
      <c r="F7" s="1"/>
      <c r="I7" s="6" t="s">
        <v>12</v>
      </c>
      <c r="J7" s="6"/>
      <c r="K7" s="6"/>
      <c r="L7" s="6"/>
      <c r="M7" s="12"/>
      <c r="N7" s="12"/>
      <c r="O7" s="6"/>
    </row>
    <row r="8" spans="1:16">
      <c r="F8" s="1"/>
    </row>
    <row r="9" spans="1:16">
      <c r="C9" s="12"/>
      <c r="D9" s="12" t="s">
        <v>34</v>
      </c>
      <c r="E9" s="60" t="s">
        <v>35</v>
      </c>
      <c r="F9" s="12" t="s">
        <v>36</v>
      </c>
      <c r="G9" s="60" t="s">
        <v>62</v>
      </c>
      <c r="H9" s="12" t="s">
        <v>0</v>
      </c>
      <c r="K9"/>
      <c r="N9" s="1"/>
      <c r="O9"/>
    </row>
    <row r="10" spans="1:16">
      <c r="A10" s="57"/>
      <c r="K10"/>
      <c r="N10" s="1"/>
      <c r="O10"/>
    </row>
    <row r="11" spans="1:16">
      <c r="A11" s="57" t="s">
        <v>57</v>
      </c>
    </row>
    <row r="12" spans="1:16">
      <c r="A12" s="57" t="s">
        <v>59</v>
      </c>
    </row>
    <row r="13" spans="1:16">
      <c r="A13" s="57" t="s">
        <v>60</v>
      </c>
    </row>
    <row r="14" spans="1:16">
      <c r="A14" s="57" t="s">
        <v>61</v>
      </c>
    </row>
    <row r="15" spans="1:16">
      <c r="A15" s="57" t="s">
        <v>63</v>
      </c>
    </row>
    <row r="16" spans="1:16">
      <c r="A16" s="57" t="s">
        <v>50</v>
      </c>
    </row>
    <row r="17" spans="1:16">
      <c r="A17" s="57"/>
    </row>
    <row r="18" spans="1:16">
      <c r="A18" s="57" t="s">
        <v>51</v>
      </c>
    </row>
    <row r="19" spans="1:16">
      <c r="A19" s="57"/>
      <c r="E19"/>
      <c r="J19" s="1"/>
    </row>
    <row r="20" spans="1:16" ht="15">
      <c r="D20"/>
      <c r="E20"/>
      <c r="F20" s="62" t="s">
        <v>73</v>
      </c>
      <c r="G20" s="62"/>
      <c r="H20" s="62"/>
      <c r="I20" s="62"/>
      <c r="J20" s="1"/>
      <c r="L20"/>
      <c r="O20"/>
      <c r="P20"/>
    </row>
    <row r="21" spans="1:16" ht="15">
      <c r="D21"/>
      <c r="E21"/>
      <c r="F21" s="7">
        <f>SUMIF($A$2:$A$5,F24,$G$2:$G$5)</f>
        <v>300</v>
      </c>
      <c r="G21" s="7">
        <f>SUMIF($A$2:$A$5,G24,$G$2:$G$5)</f>
        <v>240</v>
      </c>
      <c r="H21" s="7">
        <f>SUMIF($A$2:$A$5,H24,$G$2:$G$5)</f>
        <v>400</v>
      </c>
      <c r="I21" s="7">
        <f>SUMIF($A$2:$A$5,I24,$G$2:$G$5)</f>
        <v>300</v>
      </c>
      <c r="J21" s="1"/>
      <c r="L21"/>
      <c r="O21"/>
      <c r="P21"/>
    </row>
    <row r="22" spans="1:16" ht="15">
      <c r="B22" s="65" t="s">
        <v>43</v>
      </c>
      <c r="C22" s="65"/>
      <c r="D22" s="65"/>
      <c r="E22" s="65"/>
      <c r="F22" s="66" t="s">
        <v>0</v>
      </c>
      <c r="G22" s="66"/>
      <c r="H22" s="66"/>
      <c r="I22" s="66"/>
      <c r="J22" s="1"/>
      <c r="L22"/>
      <c r="O22"/>
      <c r="P22"/>
    </row>
    <row r="23" spans="1:16" ht="15">
      <c r="B23" s="62" t="s">
        <v>64</v>
      </c>
      <c r="C23" s="62"/>
      <c r="D23" s="62"/>
      <c r="E23" s="62"/>
      <c r="F23" s="62"/>
      <c r="G23" s="63"/>
      <c r="H23" s="63"/>
      <c r="I23" s="73"/>
      <c r="J23" s="1"/>
      <c r="L23"/>
      <c r="O23"/>
      <c r="P23"/>
    </row>
    <row r="24" spans="1:16" ht="15">
      <c r="A24" s="7" t="s">
        <v>5</v>
      </c>
      <c r="B24" s="7">
        <v>1</v>
      </c>
      <c r="C24" s="7">
        <v>2</v>
      </c>
      <c r="D24" s="7">
        <v>3</v>
      </c>
      <c r="E24" s="7">
        <v>4</v>
      </c>
      <c r="F24" s="7">
        <v>1</v>
      </c>
      <c r="G24" s="7">
        <v>2</v>
      </c>
      <c r="H24" s="7">
        <v>3</v>
      </c>
      <c r="I24" s="7">
        <v>4</v>
      </c>
      <c r="J24" s="7" t="s">
        <v>65</v>
      </c>
      <c r="L24"/>
      <c r="O24"/>
      <c r="P24"/>
    </row>
    <row r="25" spans="1:16" ht="14.45" customHeight="1">
      <c r="A25" s="54">
        <f>Projeto!A12</f>
        <v>1</v>
      </c>
      <c r="B25" s="55">
        <v>8</v>
      </c>
      <c r="C25" s="55">
        <v>7</v>
      </c>
      <c r="D25" s="55">
        <v>12</v>
      </c>
      <c r="E25" s="55">
        <v>9</v>
      </c>
      <c r="F25" s="54">
        <f t="shared" ref="F25:I31" si="2">B25*F$21</f>
        <v>2400</v>
      </c>
      <c r="G25" s="54">
        <f t="shared" si="2"/>
        <v>1680</v>
      </c>
      <c r="H25" s="54">
        <f t="shared" si="2"/>
        <v>4800</v>
      </c>
      <c r="I25" s="54">
        <f t="shared" si="2"/>
        <v>2700</v>
      </c>
      <c r="J25" s="64">
        <f>SUM(F25:I25)</f>
        <v>11580</v>
      </c>
      <c r="L25"/>
      <c r="O25"/>
      <c r="P25"/>
    </row>
    <row r="26" spans="1:16">
      <c r="A26" s="54">
        <f>Projeto!A13</f>
        <v>2</v>
      </c>
      <c r="B26" s="55">
        <v>7</v>
      </c>
      <c r="C26" s="55">
        <v>6</v>
      </c>
      <c r="D26" s="55">
        <v>7</v>
      </c>
      <c r="E26" s="55">
        <v>7</v>
      </c>
      <c r="F26" s="54">
        <f t="shared" si="2"/>
        <v>2100</v>
      </c>
      <c r="G26" s="54">
        <f t="shared" si="2"/>
        <v>1440</v>
      </c>
      <c r="H26" s="54">
        <f t="shared" si="2"/>
        <v>2800</v>
      </c>
      <c r="I26" s="54">
        <f t="shared" si="2"/>
        <v>2100</v>
      </c>
      <c r="J26" s="64">
        <f t="shared" ref="J26:J31" si="3">SUM(F26:I26)</f>
        <v>8440</v>
      </c>
      <c r="L26"/>
      <c r="O26"/>
      <c r="P26"/>
    </row>
    <row r="27" spans="1:16">
      <c r="A27" s="54">
        <f>Projeto!A14</f>
        <v>3</v>
      </c>
      <c r="B27" s="55">
        <v>7</v>
      </c>
      <c r="C27" s="55">
        <v>7</v>
      </c>
      <c r="D27" s="55">
        <v>3</v>
      </c>
      <c r="E27" s="55">
        <v>6</v>
      </c>
      <c r="F27" s="54">
        <f t="shared" si="2"/>
        <v>2100</v>
      </c>
      <c r="G27" s="54">
        <f t="shared" si="2"/>
        <v>1680</v>
      </c>
      <c r="H27" s="54">
        <f t="shared" si="2"/>
        <v>1200</v>
      </c>
      <c r="I27" s="54">
        <f t="shared" si="2"/>
        <v>1800</v>
      </c>
      <c r="J27" s="64">
        <f t="shared" si="3"/>
        <v>6780</v>
      </c>
      <c r="K27"/>
      <c r="L27"/>
      <c r="O27"/>
      <c r="P27"/>
    </row>
    <row r="28" spans="1:16">
      <c r="A28" s="54">
        <f>Projeto!A15</f>
        <v>4</v>
      </c>
      <c r="B28" s="55">
        <v>7.8</v>
      </c>
      <c r="C28" s="55">
        <v>9</v>
      </c>
      <c r="D28" s="55">
        <v>4.4000000000000004</v>
      </c>
      <c r="E28" s="55">
        <v>10</v>
      </c>
      <c r="F28" s="54">
        <f t="shared" si="2"/>
        <v>2340</v>
      </c>
      <c r="G28" s="54">
        <f t="shared" si="2"/>
        <v>2160</v>
      </c>
      <c r="H28" s="54">
        <f t="shared" si="2"/>
        <v>1760.0000000000002</v>
      </c>
      <c r="I28" s="54">
        <f t="shared" si="2"/>
        <v>3000</v>
      </c>
      <c r="J28" s="64">
        <f t="shared" si="3"/>
        <v>9260</v>
      </c>
      <c r="K28"/>
      <c r="L28"/>
      <c r="O28"/>
      <c r="P28"/>
    </row>
    <row r="29" spans="1:16">
      <c r="A29" s="54">
        <f>Projeto!A16</f>
        <v>5</v>
      </c>
      <c r="B29" s="55">
        <v>5</v>
      </c>
      <c r="C29" s="55">
        <v>5.8</v>
      </c>
      <c r="D29" s="55"/>
      <c r="E29" s="55">
        <v>8</v>
      </c>
      <c r="F29" s="54">
        <f t="shared" si="2"/>
        <v>1500</v>
      </c>
      <c r="G29" s="54">
        <f t="shared" si="2"/>
        <v>1392</v>
      </c>
      <c r="H29" s="54">
        <f t="shared" si="2"/>
        <v>0</v>
      </c>
      <c r="I29" s="54">
        <f t="shared" si="2"/>
        <v>2400</v>
      </c>
      <c r="J29" s="64">
        <f t="shared" si="3"/>
        <v>5292</v>
      </c>
      <c r="K29"/>
      <c r="L29"/>
      <c r="O29"/>
      <c r="P29"/>
    </row>
    <row r="30" spans="1:16">
      <c r="A30" s="54">
        <f>Projeto!A17</f>
        <v>6</v>
      </c>
      <c r="B30" s="55">
        <v>13</v>
      </c>
      <c r="C30" s="55">
        <v>10</v>
      </c>
      <c r="D30" s="55"/>
      <c r="E30" s="55">
        <v>10</v>
      </c>
      <c r="F30" s="54">
        <f t="shared" si="2"/>
        <v>3900</v>
      </c>
      <c r="G30" s="54">
        <f t="shared" si="2"/>
        <v>2400</v>
      </c>
      <c r="H30" s="54">
        <f t="shared" si="2"/>
        <v>0</v>
      </c>
      <c r="I30" s="54">
        <f t="shared" si="2"/>
        <v>3000</v>
      </c>
      <c r="J30" s="64">
        <f t="shared" si="3"/>
        <v>9300</v>
      </c>
      <c r="K30"/>
      <c r="L30"/>
      <c r="O30"/>
      <c r="P30"/>
    </row>
    <row r="31" spans="1:16">
      <c r="A31" s="54">
        <f>Projeto!A18</f>
        <v>7</v>
      </c>
      <c r="B31" s="55">
        <v>5</v>
      </c>
      <c r="C31" s="55">
        <v>8</v>
      </c>
      <c r="D31" s="55"/>
      <c r="E31" s="55">
        <v>2.8</v>
      </c>
      <c r="F31" s="54">
        <f t="shared" si="2"/>
        <v>1500</v>
      </c>
      <c r="G31" s="54">
        <f t="shared" si="2"/>
        <v>1920</v>
      </c>
      <c r="H31" s="54">
        <f t="shared" si="2"/>
        <v>0</v>
      </c>
      <c r="I31" s="54">
        <f t="shared" si="2"/>
        <v>840</v>
      </c>
      <c r="J31" s="64">
        <f t="shared" si="3"/>
        <v>4260</v>
      </c>
      <c r="K31"/>
      <c r="L31"/>
      <c r="O31"/>
      <c r="P31"/>
    </row>
    <row r="32" spans="1:16">
      <c r="A32" s="11" t="s">
        <v>70</v>
      </c>
      <c r="B32" s="61">
        <f>SUM(B25:B31)</f>
        <v>52.8</v>
      </c>
      <c r="C32" s="61">
        <f t="shared" ref="C32:I32" si="4">SUM(C25:C31)</f>
        <v>52.8</v>
      </c>
      <c r="D32" s="61">
        <f t="shared" si="4"/>
        <v>26.4</v>
      </c>
      <c r="E32" s="61">
        <f t="shared" si="4"/>
        <v>52.8</v>
      </c>
      <c r="F32" s="61">
        <f>ROUND(SUM(F25:F31),2)</f>
        <v>15840</v>
      </c>
      <c r="G32" s="61">
        <f t="shared" si="4"/>
        <v>12672</v>
      </c>
      <c r="H32" s="61">
        <f t="shared" si="4"/>
        <v>10560</v>
      </c>
      <c r="I32" s="61">
        <f t="shared" si="4"/>
        <v>15840</v>
      </c>
      <c r="J32" s="67">
        <f>SUM(J25:J31)</f>
        <v>54912</v>
      </c>
      <c r="L32"/>
      <c r="O32"/>
      <c r="P32"/>
    </row>
    <row r="33" spans="1:16">
      <c r="A33" s="11" t="s">
        <v>72</v>
      </c>
      <c r="B33" s="1">
        <f>SUMIF($A$2:$A$5,B24,$D$2:$D$5)-B32</f>
        <v>0</v>
      </c>
      <c r="C33" s="1">
        <f>SUMIF($A$2:$A$5,C24,$D$2:$D$5)-C32</f>
        <v>0</v>
      </c>
      <c r="D33" s="1">
        <f>SUMIF($A$2:$A$5,D24,$D$2:$D$5)-D32</f>
        <v>0</v>
      </c>
      <c r="E33" s="1">
        <f>SUMIF($A$2:$A$5,E24,$D$2:$D$5)-E32</f>
        <v>0</v>
      </c>
      <c r="F33" s="1" t="str">
        <f>IF(SUMIF($A$2:$A$5,F24,$H$2:$H$5)-F32=0,"OK!","ERRO!!!")</f>
        <v>OK!</v>
      </c>
      <c r="G33" s="1" t="str">
        <f>IF(ROUND(SUMIF($A$2:$A$5,G24,$H$2:$H$5)-G32,2)=0,"OK!","ERRO!!!")</f>
        <v>OK!</v>
      </c>
      <c r="H33" s="1" t="str">
        <f>IF(ROUND(SUMIF($A$2:$A$5,H24,$H$2:$H$5)-H32,2)=0,"OK!","ERRO!!!")</f>
        <v>OK!</v>
      </c>
      <c r="I33" s="1" t="str">
        <f>IF(ROUND(SUMIF($A$2:$A$5,I24,$H$2:$H$5)-I32,2)=0,"OK!","ERRO!!!")</f>
        <v>OK!</v>
      </c>
      <c r="J33" s="1" t="str">
        <f>IF(J32=$H$6,"OK!","ERRO!!!")</f>
        <v>OK!</v>
      </c>
      <c r="L33"/>
      <c r="O33"/>
      <c r="P33"/>
    </row>
    <row r="34" spans="1:16">
      <c r="F34" s="1"/>
      <c r="G34" s="1"/>
      <c r="H34" s="1"/>
      <c r="I34" s="1"/>
      <c r="J34" s="16" t="s">
        <v>42</v>
      </c>
      <c r="L34"/>
      <c r="O34"/>
      <c r="P34"/>
    </row>
    <row r="35" spans="1:16">
      <c r="F35" s="1"/>
      <c r="G35" s="1"/>
      <c r="H35" s="1"/>
      <c r="I35" s="1"/>
      <c r="J35" s="1"/>
      <c r="K35" s="11"/>
      <c r="L35"/>
      <c r="O35"/>
      <c r="P35"/>
    </row>
    <row r="36" spans="1:16">
      <c r="A36" s="74"/>
      <c r="B36" s="75" t="s">
        <v>74</v>
      </c>
      <c r="C36" s="75"/>
      <c r="D36" s="75"/>
      <c r="E36" s="75"/>
      <c r="F36" s="75"/>
      <c r="G36" s="75"/>
      <c r="H36" s="75"/>
      <c r="J36" s="1"/>
    </row>
    <row r="37" spans="1:16">
      <c r="A37" s="77" t="str">
        <f>A1</f>
        <v>member_id</v>
      </c>
      <c r="B37" s="76">
        <v>1</v>
      </c>
      <c r="C37" s="76">
        <v>2</v>
      </c>
      <c r="D37" s="76">
        <v>3</v>
      </c>
      <c r="E37" s="76">
        <v>4</v>
      </c>
      <c r="F37" s="76">
        <v>5</v>
      </c>
      <c r="G37" s="76">
        <v>6</v>
      </c>
      <c r="H37" s="76">
        <v>7</v>
      </c>
    </row>
    <row r="38" spans="1:16" ht="22.15" customHeight="1">
      <c r="A38" s="79">
        <f t="shared" ref="A38:A41" si="5">A2</f>
        <v>1</v>
      </c>
      <c r="B38" s="78">
        <f>G2</f>
        <v>300</v>
      </c>
      <c r="C38" s="78">
        <f>B38</f>
        <v>300</v>
      </c>
      <c r="D38" s="78">
        <f t="shared" ref="D38:H38" si="6">C38</f>
        <v>300</v>
      </c>
      <c r="E38" s="78">
        <f t="shared" si="6"/>
        <v>300</v>
      </c>
      <c r="F38" s="78">
        <f t="shared" si="6"/>
        <v>300</v>
      </c>
      <c r="G38" s="78">
        <f t="shared" si="6"/>
        <v>300</v>
      </c>
      <c r="H38" s="78">
        <f t="shared" si="6"/>
        <v>300</v>
      </c>
    </row>
    <row r="39" spans="1:16" ht="22.15" customHeight="1">
      <c r="A39" s="79">
        <f t="shared" si="5"/>
        <v>2</v>
      </c>
      <c r="B39" s="78">
        <f t="shared" ref="B39:B41" si="7">G3</f>
        <v>240</v>
      </c>
      <c r="C39" s="100" t="s">
        <v>75</v>
      </c>
      <c r="D39" s="101"/>
      <c r="E39" s="101"/>
      <c r="F39" s="101"/>
      <c r="G39" s="102"/>
      <c r="H39" s="78">
        <f>B39</f>
        <v>240</v>
      </c>
    </row>
    <row r="40" spans="1:16" ht="22.15" customHeight="1">
      <c r="A40" s="79">
        <f t="shared" si="5"/>
        <v>3</v>
      </c>
      <c r="B40" s="78">
        <f t="shared" si="7"/>
        <v>400</v>
      </c>
      <c r="C40" s="103"/>
      <c r="D40" s="104"/>
      <c r="E40" s="104"/>
      <c r="F40" s="104"/>
      <c r="G40" s="105"/>
      <c r="H40" s="78">
        <f>B40</f>
        <v>400</v>
      </c>
    </row>
    <row r="41" spans="1:16" ht="22.15" customHeight="1">
      <c r="A41" s="79">
        <f t="shared" si="5"/>
        <v>4</v>
      </c>
      <c r="B41" s="78">
        <f t="shared" si="7"/>
        <v>300</v>
      </c>
      <c r="C41" s="78">
        <f>B41</f>
        <v>300</v>
      </c>
      <c r="D41" s="78">
        <f t="shared" ref="D41:H41" si="8">C41</f>
        <v>300</v>
      </c>
      <c r="E41" s="78">
        <f t="shared" si="8"/>
        <v>300</v>
      </c>
      <c r="F41" s="78">
        <f t="shared" si="8"/>
        <v>300</v>
      </c>
      <c r="G41" s="78">
        <f t="shared" si="8"/>
        <v>300</v>
      </c>
      <c r="H41" s="78">
        <f t="shared" si="8"/>
        <v>300</v>
      </c>
    </row>
  </sheetData>
  <mergeCells count="1">
    <mergeCell ref="C39:G40"/>
  </mergeCells>
  <phoneticPr fontId="2" type="noConversion"/>
  <conditionalFormatting sqref="B33:E33">
    <cfRule type="cellIs" dxfId="7" priority="2" operator="equal">
      <formula>0</formula>
    </cfRule>
    <cfRule type="cellIs" dxfId="6" priority="3" operator="greaterThan">
      <formula>0</formula>
    </cfRule>
    <cfRule type="cellIs" dxfId="5" priority="4" operator="lessThan">
      <formula>0</formula>
    </cfRule>
  </conditionalFormatting>
  <conditionalFormatting sqref="F33:I33">
    <cfRule type="cellIs" dxfId="4" priority="5" operator="equal">
      <formula>"ERRO!!!"</formula>
    </cfRule>
  </conditionalFormatting>
  <conditionalFormatting sqref="J32:J33">
    <cfRule type="cellIs" dxfId="3" priority="1" operator="equal">
      <formula>"ERRO!!!"</formula>
    </cfRule>
  </conditionalFormatting>
  <conditionalFormatting sqref="N1 M2:N5">
    <cfRule type="cellIs" dxfId="2" priority="11" operator="equal">
      <formula>"ERRO!!!"</formula>
    </cfRule>
  </conditionalFormatting>
  <conditionalFormatting sqref="P3:P5 H6">
    <cfRule type="cellIs" dxfId="1" priority="9" operator="equal">
      <formula>"ERRO!!!"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whole" allowBlank="1" showInputMessage="1" showErrorMessage="1" errorTitle="Número de meses" error="Veja o número de meses definidos para o projeto. Precisa usar minimo de 1 e no máximo o número de meses do projeto" xr:uid="{C7614D0A-EC37-4FC5-B583-2387C26A9F38}">
          <x14:formula1>
            <xm:f>1</xm:f>
          </x14:formula1>
          <x14:formula2>
            <xm:f>Projeto!$D$2</xm:f>
          </x14:formula2>
          <xm:sqref>C2:C5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D1B3-2DDC-4395-8B11-21D5BBE78FB6}">
  <dimension ref="A1:AR9"/>
  <sheetViews>
    <sheetView tabSelected="1" workbookViewId="0">
      <selection activeCell="P4" sqref="P4"/>
    </sheetView>
  </sheetViews>
  <sheetFormatPr defaultRowHeight="14.25"/>
  <cols>
    <col min="1" max="1" width="7.25" style="1" bestFit="1" customWidth="1"/>
    <col min="2" max="2" width="20.125" style="1" bestFit="1" customWidth="1"/>
    <col min="3" max="3" width="15.375" style="1" bestFit="1" customWidth="1"/>
    <col min="4" max="4" width="16.625" style="1" bestFit="1" customWidth="1"/>
    <col min="5" max="5" width="18.125" style="1" bestFit="1" customWidth="1"/>
    <col min="6" max="6" width="12.875" style="1" bestFit="1" customWidth="1"/>
    <col min="7" max="7" width="14.25" style="1" bestFit="1" customWidth="1"/>
    <col min="8" max="8" width="13.625" style="17" bestFit="1" customWidth="1"/>
    <col min="9" max="9" width="16" style="1" bestFit="1" customWidth="1"/>
    <col min="10" max="10" width="7.875" bestFit="1" customWidth="1"/>
    <col min="11" max="11" width="9.125" style="1" bestFit="1" customWidth="1"/>
    <col min="12" max="12" width="7.625" style="1" bestFit="1" customWidth="1"/>
    <col min="13" max="13" width="7.625" style="17" bestFit="1" customWidth="1"/>
    <col min="14" max="14" width="7.75" style="1" bestFit="1" customWidth="1"/>
    <col min="15" max="15" width="9.375" bestFit="1" customWidth="1"/>
    <col min="16" max="16" width="18.375" style="1" bestFit="1" customWidth="1"/>
    <col min="17" max="17" width="6.625" style="1" bestFit="1" customWidth="1"/>
    <col min="18" max="18" width="4.25" style="1" bestFit="1" customWidth="1"/>
    <col min="19" max="19" width="4.125" style="1" bestFit="1" customWidth="1"/>
    <col min="20" max="20" width="6.75" style="1" bestFit="1" customWidth="1"/>
    <col min="21" max="21" width="8.375" style="1" bestFit="1" customWidth="1"/>
    <col min="22" max="22" width="10.125" style="1" customWidth="1"/>
    <col min="23" max="23" width="6.625" style="1" bestFit="1" customWidth="1"/>
    <col min="24" max="24" width="5.625" style="1" bestFit="1" customWidth="1"/>
    <col min="25" max="25" width="5.375" style="1" bestFit="1" customWidth="1"/>
    <col min="26" max="26" width="8" style="1" bestFit="1" customWidth="1"/>
    <col min="27" max="27" width="9.75" style="1" bestFit="1" customWidth="1"/>
    <col min="28" max="28" width="11.375" style="1" bestFit="1" customWidth="1"/>
    <col min="29" max="30" width="15.375" bestFit="1" customWidth="1"/>
    <col min="31" max="31" width="15.75" style="17" bestFit="1" customWidth="1"/>
    <col min="32" max="33" width="12.25" style="17" bestFit="1" customWidth="1"/>
    <col min="34" max="34" width="14.375" style="17" bestFit="1" customWidth="1"/>
    <col min="35" max="36" width="14.875" bestFit="1" customWidth="1"/>
    <col min="37" max="37" width="15.125" style="17" bestFit="1" customWidth="1"/>
    <col min="38" max="39" width="11.75" style="17" bestFit="1" customWidth="1"/>
    <col min="40" max="40" width="13.875" style="17" bestFit="1" customWidth="1"/>
    <col min="41" max="41" width="7.125" bestFit="1" customWidth="1"/>
    <col min="42" max="42" width="13.75" bestFit="1" customWidth="1"/>
    <col min="43" max="43" width="5.875" bestFit="1" customWidth="1"/>
    <col min="44" max="44" width="14.375" bestFit="1" customWidth="1"/>
  </cols>
  <sheetData>
    <row r="1" spans="1:44" ht="15">
      <c r="A1" s="7" t="s">
        <v>5</v>
      </c>
      <c r="B1" s="7" t="s">
        <v>94</v>
      </c>
      <c r="C1" s="4" t="s">
        <v>14</v>
      </c>
      <c r="D1" s="4" t="s">
        <v>16</v>
      </c>
      <c r="E1" s="4" t="s">
        <v>24</v>
      </c>
      <c r="F1" s="4" t="s">
        <v>65</v>
      </c>
      <c r="G1" s="92" t="s">
        <v>80</v>
      </c>
      <c r="H1" s="93" t="s">
        <v>81</v>
      </c>
      <c r="I1" s="92" t="s">
        <v>82</v>
      </c>
      <c r="J1" s="92" t="s">
        <v>79</v>
      </c>
      <c r="K1" s="88" t="s">
        <v>89</v>
      </c>
      <c r="L1" s="88" t="s">
        <v>90</v>
      </c>
      <c r="M1" s="89" t="s">
        <v>91</v>
      </c>
      <c r="N1" s="88" t="s">
        <v>92</v>
      </c>
      <c r="O1" s="88" t="s">
        <v>93</v>
      </c>
      <c r="P1" s="4" t="s">
        <v>78</v>
      </c>
      <c r="Q1" s="4" t="s">
        <v>95</v>
      </c>
      <c r="R1" s="4" t="s">
        <v>96</v>
      </c>
      <c r="S1" s="4" t="s">
        <v>97</v>
      </c>
      <c r="T1" s="4" t="s">
        <v>100</v>
      </c>
      <c r="U1" s="4" t="s">
        <v>98</v>
      </c>
      <c r="V1" s="4" t="s">
        <v>99</v>
      </c>
      <c r="W1" s="96" t="s">
        <v>101</v>
      </c>
      <c r="X1" s="96" t="s">
        <v>102</v>
      </c>
      <c r="Y1" s="96" t="s">
        <v>103</v>
      </c>
      <c r="Z1" s="96" t="s">
        <v>104</v>
      </c>
      <c r="AA1" s="96" t="s">
        <v>105</v>
      </c>
      <c r="AB1" s="96" t="s">
        <v>106</v>
      </c>
      <c r="AC1" s="82" t="s">
        <v>110</v>
      </c>
      <c r="AD1" s="82" t="s">
        <v>111</v>
      </c>
      <c r="AE1" s="82" t="s">
        <v>112</v>
      </c>
      <c r="AF1" s="82" t="s">
        <v>113</v>
      </c>
      <c r="AG1" s="82" t="s">
        <v>114</v>
      </c>
      <c r="AH1" s="83" t="s">
        <v>115</v>
      </c>
      <c r="AI1" s="90" t="s">
        <v>83</v>
      </c>
      <c r="AJ1" s="90" t="s">
        <v>84</v>
      </c>
      <c r="AK1" s="90" t="s">
        <v>85</v>
      </c>
      <c r="AL1" s="90" t="s">
        <v>86</v>
      </c>
      <c r="AM1" s="90" t="s">
        <v>87</v>
      </c>
      <c r="AN1" s="91" t="s">
        <v>88</v>
      </c>
      <c r="AO1" s="97" t="s">
        <v>107</v>
      </c>
      <c r="AP1" s="97" t="s">
        <v>108</v>
      </c>
      <c r="AQ1" s="97" t="s">
        <v>109</v>
      </c>
      <c r="AR1" s="97" t="s">
        <v>117</v>
      </c>
    </row>
    <row r="2" spans="1:44">
      <c r="A2" s="5">
        <f>Projeto!A12</f>
        <v>1</v>
      </c>
      <c r="B2" s="5" t="str">
        <f>VLOOKUP(A2,Projeto!$A$12:$B$18,2)</f>
        <v>Descrição Atividade 1</v>
      </c>
      <c r="C2" s="98">
        <f>SUMIF(Projeto!$A$12:$A$18,Atividades!A2,Projeto!$F$12:$F$18)</f>
        <v>0</v>
      </c>
      <c r="D2" s="54">
        <f>SUMIF(Projeto!$A$12:$A$18,Atividades!A2,Projeto!$G$12:$G$18)</f>
        <v>12</v>
      </c>
      <c r="E2" s="54">
        <f t="shared" ref="E2:E8" si="0">D2-C2</f>
        <v>12</v>
      </c>
      <c r="F2" s="64">
        <f>Equipe!J25</f>
        <v>11580</v>
      </c>
      <c r="G2" s="15">
        <v>0</v>
      </c>
      <c r="H2" s="15">
        <v>0</v>
      </c>
      <c r="I2" s="15">
        <v>0</v>
      </c>
      <c r="J2" s="15">
        <v>0</v>
      </c>
      <c r="K2" s="94">
        <f>G2/100</f>
        <v>0</v>
      </c>
      <c r="L2" s="95">
        <f>K2+(G2/100)^2+(G2/100)^3+(G2/100)^4</f>
        <v>0</v>
      </c>
      <c r="M2" s="95">
        <f t="shared" ref="M2:M8" si="1">(H2/100)+K2*((H2/100)^2+(H2/100)^3+(H2/100)^4)</f>
        <v>0</v>
      </c>
      <c r="N2" s="95">
        <f t="shared" ref="N2:N8" si="2">(I2/100)+K2*((I2/100)^2+(I2/100)^3+(I2/100)^4)</f>
        <v>0</v>
      </c>
      <c r="O2" s="95">
        <f t="shared" ref="O2:O8" si="3">(J2/100)+$K2*((J2/100)^2+(J2/100)^3+(J2/100)^4)</f>
        <v>0</v>
      </c>
      <c r="P2" s="87">
        <f>F2/E2*(1+L2+M2-N2-O2)</f>
        <v>965</v>
      </c>
      <c r="Q2" s="86">
        <f t="shared" ref="Q2:Q8" si="4">F2</f>
        <v>11580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86">
        <v>0</v>
      </c>
      <c r="X2" s="86">
        <v>0</v>
      </c>
      <c r="Y2" s="86">
        <v>0</v>
      </c>
      <c r="Z2" s="86">
        <v>0</v>
      </c>
      <c r="AA2" s="86">
        <v>0</v>
      </c>
      <c r="AB2" s="86">
        <v>0</v>
      </c>
      <c r="AC2" s="15">
        <v>0.6</v>
      </c>
      <c r="AD2" s="15">
        <v>6</v>
      </c>
      <c r="AE2" s="15">
        <v>18</v>
      </c>
      <c r="AF2" s="84">
        <f t="shared" ref="AF2:AG8" si="5">$E2/AD2</f>
        <v>2</v>
      </c>
      <c r="AG2" s="84">
        <f t="shared" si="5"/>
        <v>0.66666666666666663</v>
      </c>
      <c r="AH2" s="85">
        <f>($F2*H2/100)/(SQRT(PI()/2)*(AF2+AG2))</f>
        <v>0</v>
      </c>
      <c r="AI2" s="15">
        <v>0.82</v>
      </c>
      <c r="AJ2" s="15">
        <v>10</v>
      </c>
      <c r="AK2" s="15">
        <f>5*AJ2</f>
        <v>50</v>
      </c>
      <c r="AL2" s="84">
        <f>$E2/AJ2</f>
        <v>1.2</v>
      </c>
      <c r="AM2" s="84">
        <f t="shared" ref="AM2:AM8" si="6">$E2/AK2</f>
        <v>0.24</v>
      </c>
      <c r="AN2" s="85">
        <f t="shared" ref="AN2:AN8" si="7">($F2*I2/100)/(SQRT(PI()/2)*(AL2+AM2))</f>
        <v>0</v>
      </c>
      <c r="AO2" s="15">
        <v>0</v>
      </c>
      <c r="AP2" s="15">
        <v>0</v>
      </c>
      <c r="AQ2" s="15">
        <v>0</v>
      </c>
      <c r="AR2" s="53">
        <f>Projeto!C12</f>
        <v>0</v>
      </c>
    </row>
    <row r="3" spans="1:44">
      <c r="A3" s="5">
        <f>Projeto!A13</f>
        <v>2</v>
      </c>
      <c r="B3" s="5" t="str">
        <f>VLOOKUP(A3,Projeto!$A$12:$B$18,2)</f>
        <v>Descrição Atividade 2</v>
      </c>
      <c r="C3" s="54">
        <f>SUMIF(Projeto!$A$12:$A$18,Atividades!A3,Projeto!$F$12:$F$18)</f>
        <v>0</v>
      </c>
      <c r="D3" s="54">
        <f>SUMIF(Projeto!$A$12:$A$18,Atividades!A3,Projeto!$G$12:$G$18)</f>
        <v>7</v>
      </c>
      <c r="E3" s="54">
        <f t="shared" si="0"/>
        <v>7</v>
      </c>
      <c r="F3" s="64">
        <f>Equipe!J26</f>
        <v>8440</v>
      </c>
      <c r="G3" s="99">
        <f>G2</f>
        <v>0</v>
      </c>
      <c r="H3" s="15">
        <f>H2</f>
        <v>0</v>
      </c>
      <c r="I3" s="15">
        <f t="shared" ref="I3:J3" si="8">I2</f>
        <v>0</v>
      </c>
      <c r="J3" s="15">
        <f t="shared" si="8"/>
        <v>0</v>
      </c>
      <c r="K3" s="94">
        <f>G3/100</f>
        <v>0</v>
      </c>
      <c r="L3" s="95">
        <f>K3+(G3/100)^2+(G3/100)^3+(G3/100)^4</f>
        <v>0</v>
      </c>
      <c r="M3" s="95">
        <f t="shared" si="1"/>
        <v>0</v>
      </c>
      <c r="N3" s="95">
        <f t="shared" si="2"/>
        <v>0</v>
      </c>
      <c r="O3" s="95">
        <f t="shared" si="3"/>
        <v>0</v>
      </c>
      <c r="P3" s="87">
        <f t="shared" ref="P3:P8" si="9">F3/E3*(1+L3+M3-N3-O3)</f>
        <v>1205.7142857142858</v>
      </c>
      <c r="Q3" s="86">
        <f t="shared" si="4"/>
        <v>8440</v>
      </c>
      <c r="R3" s="15">
        <f t="shared" ref="R3:W3" si="10">R2</f>
        <v>0</v>
      </c>
      <c r="S3" s="15">
        <f t="shared" si="10"/>
        <v>0</v>
      </c>
      <c r="T3" s="15">
        <f t="shared" si="10"/>
        <v>0</v>
      </c>
      <c r="U3" s="15">
        <f t="shared" si="10"/>
        <v>0</v>
      </c>
      <c r="V3" s="15">
        <f t="shared" si="10"/>
        <v>0</v>
      </c>
      <c r="W3" s="86">
        <f t="shared" si="10"/>
        <v>0</v>
      </c>
      <c r="X3" s="86">
        <f t="shared" ref="X3:AB3" si="11">X2</f>
        <v>0</v>
      </c>
      <c r="Y3" s="86">
        <f t="shared" si="11"/>
        <v>0</v>
      </c>
      <c r="Z3" s="86">
        <f t="shared" si="11"/>
        <v>0</v>
      </c>
      <c r="AA3" s="86">
        <f t="shared" si="11"/>
        <v>0</v>
      </c>
      <c r="AB3" s="86">
        <f t="shared" si="11"/>
        <v>0</v>
      </c>
      <c r="AC3" s="15">
        <f t="shared" ref="AC3:AE3" si="12">AC2</f>
        <v>0.6</v>
      </c>
      <c r="AD3" s="15">
        <f t="shared" si="12"/>
        <v>6</v>
      </c>
      <c r="AE3" s="15">
        <f t="shared" si="12"/>
        <v>18</v>
      </c>
      <c r="AF3" s="84">
        <f t="shared" si="5"/>
        <v>1.1666666666666667</v>
      </c>
      <c r="AG3" s="84">
        <f t="shared" si="5"/>
        <v>0.3888888888888889</v>
      </c>
      <c r="AH3" s="85">
        <f t="shared" ref="AH3:AH8" si="13">($F3*H3/100)/(SQRT(PI()/2)*(AF3+AG3))</f>
        <v>0</v>
      </c>
      <c r="AI3" s="15">
        <f t="shared" ref="AI3:AK8" si="14">AI2</f>
        <v>0.82</v>
      </c>
      <c r="AJ3" s="15">
        <f t="shared" si="14"/>
        <v>10</v>
      </c>
      <c r="AK3" s="15">
        <f t="shared" si="14"/>
        <v>50</v>
      </c>
      <c r="AL3" s="84">
        <f t="shared" ref="AL3:AL8" si="15">$E3/AJ3</f>
        <v>0.7</v>
      </c>
      <c r="AM3" s="84">
        <f t="shared" si="6"/>
        <v>0.14000000000000001</v>
      </c>
      <c r="AN3" s="85">
        <f t="shared" si="7"/>
        <v>0</v>
      </c>
      <c r="AO3" s="15">
        <f t="shared" ref="AO3:AQ8" si="16">AO2</f>
        <v>0</v>
      </c>
      <c r="AP3" s="15">
        <f t="shared" si="16"/>
        <v>0</v>
      </c>
      <c r="AQ3" s="15">
        <f t="shared" si="16"/>
        <v>0</v>
      </c>
      <c r="AR3" s="53">
        <f>Projeto!C13</f>
        <v>0</v>
      </c>
    </row>
    <row r="4" spans="1:44">
      <c r="A4" s="5">
        <f>Projeto!A14</f>
        <v>3</v>
      </c>
      <c r="B4" s="5" t="str">
        <f>VLOOKUP(A4,Projeto!$A$12:$B$18,2)</f>
        <v>Descrição Atividade 3</v>
      </c>
      <c r="C4" s="54">
        <f>SUMIF(Projeto!$A$12:$A$18,Atividades!A4,Projeto!$F$12:$F$18)</f>
        <v>0</v>
      </c>
      <c r="D4" s="54">
        <f>SUMIF(Projeto!$A$12:$A$18,Atividades!A4,Projeto!$G$12:$G$18)</f>
        <v>7</v>
      </c>
      <c r="E4" s="54">
        <f t="shared" si="0"/>
        <v>7</v>
      </c>
      <c r="F4" s="64">
        <f>Equipe!J27</f>
        <v>6780</v>
      </c>
      <c r="G4" s="15">
        <f t="shared" ref="G4:G8" si="17">G3</f>
        <v>0</v>
      </c>
      <c r="H4" s="15">
        <f t="shared" ref="H4:H8" si="18">H3</f>
        <v>0</v>
      </c>
      <c r="I4" s="15">
        <f t="shared" ref="I4:I8" si="19">I3</f>
        <v>0</v>
      </c>
      <c r="J4" s="15">
        <f t="shared" ref="J4:J8" si="20">J3</f>
        <v>0</v>
      </c>
      <c r="K4" s="94">
        <f>G4/100</f>
        <v>0</v>
      </c>
      <c r="L4" s="95">
        <f>K4+(G4/100)^2+(G4/100)^3+(G4/100)^4</f>
        <v>0</v>
      </c>
      <c r="M4" s="95">
        <f t="shared" si="1"/>
        <v>0</v>
      </c>
      <c r="N4" s="95">
        <f t="shared" si="2"/>
        <v>0</v>
      </c>
      <c r="O4" s="95">
        <f t="shared" si="3"/>
        <v>0</v>
      </c>
      <c r="P4" s="87">
        <f t="shared" si="9"/>
        <v>968.57142857142856</v>
      </c>
      <c r="Q4" s="86">
        <f t="shared" si="4"/>
        <v>6780</v>
      </c>
      <c r="R4" s="15">
        <f t="shared" ref="R4" si="21">R3</f>
        <v>0</v>
      </c>
      <c r="S4" s="15">
        <f t="shared" ref="S4:T4" si="22">S3</f>
        <v>0</v>
      </c>
      <c r="T4" s="15">
        <f t="shared" si="22"/>
        <v>0</v>
      </c>
      <c r="U4" s="15">
        <f t="shared" ref="U4:W4" si="23">U3</f>
        <v>0</v>
      </c>
      <c r="V4" s="15">
        <f t="shared" si="23"/>
        <v>0</v>
      </c>
      <c r="W4" s="86">
        <f t="shared" si="23"/>
        <v>0</v>
      </c>
      <c r="X4" s="86">
        <f t="shared" ref="X4:X8" si="24">X3</f>
        <v>0</v>
      </c>
      <c r="Y4" s="86">
        <f t="shared" ref="Y4:Y8" si="25">Y3</f>
        <v>0</v>
      </c>
      <c r="Z4" s="86">
        <f t="shared" ref="Z4:Z8" si="26">Z3</f>
        <v>0</v>
      </c>
      <c r="AA4" s="86">
        <f t="shared" ref="AA4:AA8" si="27">AA3</f>
        <v>0</v>
      </c>
      <c r="AB4" s="86">
        <f t="shared" ref="AB4:AB8" si="28">AB3</f>
        <v>0</v>
      </c>
      <c r="AC4" s="15">
        <f t="shared" ref="AC4" si="29">AC3</f>
        <v>0.6</v>
      </c>
      <c r="AD4" s="15">
        <f t="shared" ref="AD4" si="30">AD3</f>
        <v>6</v>
      </c>
      <c r="AE4" s="15">
        <f t="shared" ref="AE4" si="31">AE3</f>
        <v>18</v>
      </c>
      <c r="AF4" s="84">
        <f t="shared" si="5"/>
        <v>1.1666666666666667</v>
      </c>
      <c r="AG4" s="84">
        <f t="shared" si="5"/>
        <v>0.3888888888888889</v>
      </c>
      <c r="AH4" s="85">
        <f t="shared" si="13"/>
        <v>0</v>
      </c>
      <c r="AI4" s="15">
        <f t="shared" si="14"/>
        <v>0.82</v>
      </c>
      <c r="AJ4" s="15">
        <f t="shared" si="14"/>
        <v>10</v>
      </c>
      <c r="AK4" s="15">
        <f t="shared" si="14"/>
        <v>50</v>
      </c>
      <c r="AL4" s="84">
        <f t="shared" si="15"/>
        <v>0.7</v>
      </c>
      <c r="AM4" s="84">
        <f t="shared" si="6"/>
        <v>0.14000000000000001</v>
      </c>
      <c r="AN4" s="85">
        <f t="shared" si="7"/>
        <v>0</v>
      </c>
      <c r="AO4" s="15">
        <f t="shared" si="16"/>
        <v>0</v>
      </c>
      <c r="AP4" s="15">
        <f t="shared" si="16"/>
        <v>0</v>
      </c>
      <c r="AQ4" s="15">
        <f t="shared" si="16"/>
        <v>0</v>
      </c>
      <c r="AR4" s="53">
        <f>Projeto!C14</f>
        <v>0</v>
      </c>
    </row>
    <row r="5" spans="1:44">
      <c r="A5" s="5">
        <f>Projeto!A15</f>
        <v>4</v>
      </c>
      <c r="B5" s="5" t="str">
        <f>VLOOKUP(A5,Projeto!$A$12:$B$18,2)</f>
        <v>Descrição Atividade 4</v>
      </c>
      <c r="C5" s="54">
        <v>12</v>
      </c>
      <c r="D5" s="54">
        <f>SUMIF(Projeto!$A$12:$A$18,Atividades!A5,Projeto!$G$12:$G$18)</f>
        <v>22</v>
      </c>
      <c r="E5" s="54">
        <f t="shared" si="0"/>
        <v>10</v>
      </c>
      <c r="F5" s="64">
        <f>Equipe!J28</f>
        <v>9260</v>
      </c>
      <c r="G5" s="15">
        <f t="shared" si="17"/>
        <v>0</v>
      </c>
      <c r="H5" s="15">
        <f t="shared" si="18"/>
        <v>0</v>
      </c>
      <c r="I5" s="15">
        <f t="shared" si="19"/>
        <v>0</v>
      </c>
      <c r="J5" s="15">
        <f t="shared" si="20"/>
        <v>0</v>
      </c>
      <c r="K5" s="94">
        <f t="shared" ref="K5:K8" si="32">G5/100</f>
        <v>0</v>
      </c>
      <c r="L5" s="95">
        <f t="shared" ref="L5:L8" si="33">K5+(G5/100)^2+(G5/100)^3+(G5/100)^4</f>
        <v>0</v>
      </c>
      <c r="M5" s="95">
        <f t="shared" si="1"/>
        <v>0</v>
      </c>
      <c r="N5" s="95">
        <f t="shared" si="2"/>
        <v>0</v>
      </c>
      <c r="O5" s="95">
        <f t="shared" si="3"/>
        <v>0</v>
      </c>
      <c r="P5" s="87">
        <f t="shared" si="9"/>
        <v>926</v>
      </c>
      <c r="Q5" s="86">
        <f t="shared" si="4"/>
        <v>9260</v>
      </c>
      <c r="R5" s="15">
        <f t="shared" ref="R5" si="34">R4</f>
        <v>0</v>
      </c>
      <c r="S5" s="15">
        <f t="shared" ref="S5:T5" si="35">S4</f>
        <v>0</v>
      </c>
      <c r="T5" s="15">
        <f t="shared" si="35"/>
        <v>0</v>
      </c>
      <c r="U5" s="15">
        <f t="shared" ref="U5:W5" si="36">U4</f>
        <v>0</v>
      </c>
      <c r="V5" s="15">
        <f t="shared" si="36"/>
        <v>0</v>
      </c>
      <c r="W5" s="86">
        <f t="shared" si="36"/>
        <v>0</v>
      </c>
      <c r="X5" s="86">
        <f t="shared" si="24"/>
        <v>0</v>
      </c>
      <c r="Y5" s="86">
        <f t="shared" si="25"/>
        <v>0</v>
      </c>
      <c r="Z5" s="86">
        <f t="shared" si="26"/>
        <v>0</v>
      </c>
      <c r="AA5" s="86">
        <f t="shared" si="27"/>
        <v>0</v>
      </c>
      <c r="AB5" s="86">
        <f t="shared" si="28"/>
        <v>0</v>
      </c>
      <c r="AC5" s="15">
        <f t="shared" ref="AC5" si="37">AC4</f>
        <v>0.6</v>
      </c>
      <c r="AD5" s="15">
        <f t="shared" ref="AD5" si="38">AD4</f>
        <v>6</v>
      </c>
      <c r="AE5" s="15">
        <f t="shared" ref="AE5" si="39">AE4</f>
        <v>18</v>
      </c>
      <c r="AF5" s="84">
        <f t="shared" si="5"/>
        <v>1.6666666666666667</v>
      </c>
      <c r="AG5" s="84">
        <f t="shared" si="5"/>
        <v>0.55555555555555558</v>
      </c>
      <c r="AH5" s="85">
        <f t="shared" si="13"/>
        <v>0</v>
      </c>
      <c r="AI5" s="15">
        <f t="shared" si="14"/>
        <v>0.82</v>
      </c>
      <c r="AJ5" s="15">
        <f t="shared" si="14"/>
        <v>10</v>
      </c>
      <c r="AK5" s="15">
        <f t="shared" si="14"/>
        <v>50</v>
      </c>
      <c r="AL5" s="84">
        <f t="shared" si="15"/>
        <v>1</v>
      </c>
      <c r="AM5" s="84">
        <f t="shared" si="6"/>
        <v>0.2</v>
      </c>
      <c r="AN5" s="85">
        <f t="shared" si="7"/>
        <v>0</v>
      </c>
      <c r="AO5" s="15">
        <f t="shared" si="16"/>
        <v>0</v>
      </c>
      <c r="AP5" s="15">
        <f t="shared" si="16"/>
        <v>0</v>
      </c>
      <c r="AQ5" s="15">
        <f t="shared" si="16"/>
        <v>0</v>
      </c>
      <c r="AR5" s="53" t="str">
        <f>Projeto!C15</f>
        <v>1,2,3</v>
      </c>
    </row>
    <row r="6" spans="1:44">
      <c r="A6" s="5">
        <f>Projeto!A16</f>
        <v>5</v>
      </c>
      <c r="B6" s="5" t="str">
        <f>VLOOKUP(A6,Projeto!$A$12:$B$18,2)</f>
        <v>Descrição Atividade 5</v>
      </c>
      <c r="C6" s="54">
        <f>SUMIF(Projeto!$A$12:$A$18,Atividades!A6,Projeto!$F$12:$F$18)</f>
        <v>14</v>
      </c>
      <c r="D6" s="54">
        <f>SUMIF(Projeto!$A$12:$A$18,Atividades!A6,Projeto!$G$12:$G$18)</f>
        <v>22</v>
      </c>
      <c r="E6" s="54">
        <f t="shared" si="0"/>
        <v>8</v>
      </c>
      <c r="F6" s="64">
        <f>Equipe!J29</f>
        <v>5292</v>
      </c>
      <c r="G6" s="15">
        <f t="shared" si="17"/>
        <v>0</v>
      </c>
      <c r="H6" s="15">
        <f t="shared" si="18"/>
        <v>0</v>
      </c>
      <c r="I6" s="15">
        <f t="shared" si="19"/>
        <v>0</v>
      </c>
      <c r="J6" s="15">
        <f t="shared" si="20"/>
        <v>0</v>
      </c>
      <c r="K6" s="94">
        <f t="shared" si="32"/>
        <v>0</v>
      </c>
      <c r="L6" s="95">
        <f t="shared" si="33"/>
        <v>0</v>
      </c>
      <c r="M6" s="95">
        <f t="shared" si="1"/>
        <v>0</v>
      </c>
      <c r="N6" s="95">
        <f t="shared" si="2"/>
        <v>0</v>
      </c>
      <c r="O6" s="95">
        <f t="shared" si="3"/>
        <v>0</v>
      </c>
      <c r="P6" s="87">
        <f t="shared" si="9"/>
        <v>661.5</v>
      </c>
      <c r="Q6" s="86">
        <f t="shared" si="4"/>
        <v>5292</v>
      </c>
      <c r="R6" s="15">
        <f t="shared" ref="R6" si="40">R5</f>
        <v>0</v>
      </c>
      <c r="S6" s="15">
        <f t="shared" ref="S6:T6" si="41">S5</f>
        <v>0</v>
      </c>
      <c r="T6" s="15">
        <f t="shared" si="41"/>
        <v>0</v>
      </c>
      <c r="U6" s="15">
        <f t="shared" ref="U6:W6" si="42">U5</f>
        <v>0</v>
      </c>
      <c r="V6" s="15">
        <f t="shared" si="42"/>
        <v>0</v>
      </c>
      <c r="W6" s="86">
        <f t="shared" si="42"/>
        <v>0</v>
      </c>
      <c r="X6" s="86">
        <f t="shared" si="24"/>
        <v>0</v>
      </c>
      <c r="Y6" s="86">
        <f t="shared" si="25"/>
        <v>0</v>
      </c>
      <c r="Z6" s="86">
        <f t="shared" si="26"/>
        <v>0</v>
      </c>
      <c r="AA6" s="86">
        <f t="shared" si="27"/>
        <v>0</v>
      </c>
      <c r="AB6" s="86">
        <f t="shared" si="28"/>
        <v>0</v>
      </c>
      <c r="AC6" s="15">
        <f t="shared" ref="AC6" si="43">AC5</f>
        <v>0.6</v>
      </c>
      <c r="AD6" s="15">
        <f t="shared" ref="AD6" si="44">AD5</f>
        <v>6</v>
      </c>
      <c r="AE6" s="15">
        <f t="shared" ref="AE6" si="45">AE5</f>
        <v>18</v>
      </c>
      <c r="AF6" s="84">
        <f t="shared" si="5"/>
        <v>1.3333333333333333</v>
      </c>
      <c r="AG6" s="84">
        <f t="shared" si="5"/>
        <v>0.44444444444444442</v>
      </c>
      <c r="AH6" s="85">
        <f t="shared" si="13"/>
        <v>0</v>
      </c>
      <c r="AI6" s="15">
        <f t="shared" si="14"/>
        <v>0.82</v>
      </c>
      <c r="AJ6" s="15">
        <f t="shared" si="14"/>
        <v>10</v>
      </c>
      <c r="AK6" s="15">
        <f t="shared" si="14"/>
        <v>50</v>
      </c>
      <c r="AL6" s="84">
        <f t="shared" si="15"/>
        <v>0.8</v>
      </c>
      <c r="AM6" s="84">
        <f t="shared" si="6"/>
        <v>0.16</v>
      </c>
      <c r="AN6" s="85">
        <f t="shared" si="7"/>
        <v>0</v>
      </c>
      <c r="AO6" s="15">
        <f t="shared" si="16"/>
        <v>0</v>
      </c>
      <c r="AP6" s="15">
        <f t="shared" si="16"/>
        <v>0</v>
      </c>
      <c r="AQ6" s="15">
        <f t="shared" si="16"/>
        <v>0</v>
      </c>
      <c r="AR6" s="53">
        <f>Projeto!C16</f>
        <v>0</v>
      </c>
    </row>
    <row r="7" spans="1:44">
      <c r="A7" s="5">
        <f>Projeto!A17</f>
        <v>6</v>
      </c>
      <c r="B7" s="5" t="str">
        <f>VLOOKUP(A7,Projeto!$A$12:$B$18,2)</f>
        <v>Descrição Atividade 6</v>
      </c>
      <c r="C7" s="54">
        <f>SUMIF(Projeto!$A$12:$A$18,Atividades!A7,Projeto!$F$12:$F$18)</f>
        <v>22</v>
      </c>
      <c r="D7" s="54">
        <f>SUMIF(Projeto!$A$12:$A$18,Atividades!A7,Projeto!$G$12:$G$18)</f>
        <v>37</v>
      </c>
      <c r="E7" s="54">
        <f t="shared" si="0"/>
        <v>15</v>
      </c>
      <c r="F7" s="64">
        <f>Equipe!J30</f>
        <v>9300</v>
      </c>
      <c r="G7" s="15">
        <f t="shared" si="17"/>
        <v>0</v>
      </c>
      <c r="H7" s="15">
        <f t="shared" si="18"/>
        <v>0</v>
      </c>
      <c r="I7" s="15">
        <f t="shared" si="19"/>
        <v>0</v>
      </c>
      <c r="J7" s="15">
        <f t="shared" si="20"/>
        <v>0</v>
      </c>
      <c r="K7" s="94">
        <f t="shared" si="32"/>
        <v>0</v>
      </c>
      <c r="L7" s="95">
        <f t="shared" si="33"/>
        <v>0</v>
      </c>
      <c r="M7" s="95">
        <f t="shared" si="1"/>
        <v>0</v>
      </c>
      <c r="N7" s="95">
        <f t="shared" si="2"/>
        <v>0</v>
      </c>
      <c r="O7" s="95">
        <f t="shared" si="3"/>
        <v>0</v>
      </c>
      <c r="P7" s="87">
        <f t="shared" si="9"/>
        <v>620</v>
      </c>
      <c r="Q7" s="86">
        <f t="shared" si="4"/>
        <v>9300</v>
      </c>
      <c r="R7" s="15">
        <f t="shared" ref="R7" si="46">R6</f>
        <v>0</v>
      </c>
      <c r="S7" s="15">
        <f t="shared" ref="S7:T7" si="47">S6</f>
        <v>0</v>
      </c>
      <c r="T7" s="15">
        <f t="shared" si="47"/>
        <v>0</v>
      </c>
      <c r="U7" s="15">
        <f t="shared" ref="U7:W7" si="48">U6</f>
        <v>0</v>
      </c>
      <c r="V7" s="15">
        <f t="shared" si="48"/>
        <v>0</v>
      </c>
      <c r="W7" s="86">
        <f t="shared" si="48"/>
        <v>0</v>
      </c>
      <c r="X7" s="86">
        <f t="shared" si="24"/>
        <v>0</v>
      </c>
      <c r="Y7" s="86">
        <f t="shared" si="25"/>
        <v>0</v>
      </c>
      <c r="Z7" s="86">
        <f t="shared" si="26"/>
        <v>0</v>
      </c>
      <c r="AA7" s="86">
        <f t="shared" si="27"/>
        <v>0</v>
      </c>
      <c r="AB7" s="86">
        <f t="shared" si="28"/>
        <v>0</v>
      </c>
      <c r="AC7" s="15">
        <f t="shared" ref="AC7" si="49">AC6</f>
        <v>0.6</v>
      </c>
      <c r="AD7" s="15">
        <f t="shared" ref="AD7" si="50">AD6</f>
        <v>6</v>
      </c>
      <c r="AE7" s="15">
        <f t="shared" ref="AE7" si="51">AE6</f>
        <v>18</v>
      </c>
      <c r="AF7" s="84">
        <f t="shared" si="5"/>
        <v>2.5</v>
      </c>
      <c r="AG7" s="84">
        <f t="shared" si="5"/>
        <v>0.83333333333333337</v>
      </c>
      <c r="AH7" s="85">
        <f t="shared" si="13"/>
        <v>0</v>
      </c>
      <c r="AI7" s="15">
        <f t="shared" si="14"/>
        <v>0.82</v>
      </c>
      <c r="AJ7" s="15">
        <f t="shared" si="14"/>
        <v>10</v>
      </c>
      <c r="AK7" s="15">
        <f t="shared" si="14"/>
        <v>50</v>
      </c>
      <c r="AL7" s="84">
        <f t="shared" si="15"/>
        <v>1.5</v>
      </c>
      <c r="AM7" s="84">
        <f t="shared" si="6"/>
        <v>0.3</v>
      </c>
      <c r="AN7" s="85">
        <f t="shared" si="7"/>
        <v>0</v>
      </c>
      <c r="AO7" s="15">
        <f t="shared" si="16"/>
        <v>0</v>
      </c>
      <c r="AP7" s="15">
        <f t="shared" si="16"/>
        <v>0</v>
      </c>
      <c r="AQ7" s="15">
        <f t="shared" si="16"/>
        <v>0</v>
      </c>
      <c r="AR7" s="53" t="str">
        <f>Projeto!C17</f>
        <v>4,5</v>
      </c>
    </row>
    <row r="8" spans="1:44">
      <c r="A8" s="5">
        <f>Projeto!A18</f>
        <v>7</v>
      </c>
      <c r="B8" s="5" t="str">
        <f>VLOOKUP(A8,Projeto!$A$12:$B$18,2)</f>
        <v>Descrição Atividade 7</v>
      </c>
      <c r="C8" s="54">
        <f>SUMIF(Projeto!$A$12:$A$18,Atividades!A8,Projeto!$F$12:$F$18)</f>
        <v>37</v>
      </c>
      <c r="D8" s="54">
        <f>SUMIF(Projeto!$A$12:$A$18,Atividades!A8,Projeto!$G$12:$G$18)</f>
        <v>45</v>
      </c>
      <c r="E8" s="54">
        <f t="shared" si="0"/>
        <v>8</v>
      </c>
      <c r="F8" s="64">
        <f>Equipe!J31</f>
        <v>4260</v>
      </c>
      <c r="G8" s="15">
        <f t="shared" si="17"/>
        <v>0</v>
      </c>
      <c r="H8" s="15">
        <f t="shared" si="18"/>
        <v>0</v>
      </c>
      <c r="I8" s="15">
        <f t="shared" si="19"/>
        <v>0</v>
      </c>
      <c r="J8" s="15">
        <f t="shared" si="20"/>
        <v>0</v>
      </c>
      <c r="K8" s="94">
        <f t="shared" si="32"/>
        <v>0</v>
      </c>
      <c r="L8" s="95">
        <f t="shared" si="33"/>
        <v>0</v>
      </c>
      <c r="M8" s="95">
        <f t="shared" si="1"/>
        <v>0</v>
      </c>
      <c r="N8" s="95">
        <f t="shared" si="2"/>
        <v>0</v>
      </c>
      <c r="O8" s="95">
        <f t="shared" si="3"/>
        <v>0</v>
      </c>
      <c r="P8" s="87">
        <f t="shared" si="9"/>
        <v>532.5</v>
      </c>
      <c r="Q8" s="86">
        <f t="shared" si="4"/>
        <v>4260</v>
      </c>
      <c r="R8" s="15">
        <f t="shared" ref="R8" si="52">R7</f>
        <v>0</v>
      </c>
      <c r="S8" s="15">
        <f t="shared" ref="S8:T8" si="53">S7</f>
        <v>0</v>
      </c>
      <c r="T8" s="15">
        <f t="shared" si="53"/>
        <v>0</v>
      </c>
      <c r="U8" s="15">
        <f t="shared" ref="U8:W8" si="54">U7</f>
        <v>0</v>
      </c>
      <c r="V8" s="15">
        <f t="shared" si="54"/>
        <v>0</v>
      </c>
      <c r="W8" s="86">
        <f t="shared" si="54"/>
        <v>0</v>
      </c>
      <c r="X8" s="86">
        <f t="shared" si="24"/>
        <v>0</v>
      </c>
      <c r="Y8" s="86">
        <f t="shared" si="25"/>
        <v>0</v>
      </c>
      <c r="Z8" s="86">
        <f t="shared" si="26"/>
        <v>0</v>
      </c>
      <c r="AA8" s="86">
        <f t="shared" si="27"/>
        <v>0</v>
      </c>
      <c r="AB8" s="86">
        <f t="shared" si="28"/>
        <v>0</v>
      </c>
      <c r="AC8" s="15">
        <f t="shared" ref="AC8" si="55">AC7</f>
        <v>0.6</v>
      </c>
      <c r="AD8" s="15">
        <f t="shared" ref="AD8" si="56">AD7</f>
        <v>6</v>
      </c>
      <c r="AE8" s="15">
        <f t="shared" ref="AE8" si="57">AE7</f>
        <v>18</v>
      </c>
      <c r="AF8" s="84">
        <f t="shared" si="5"/>
        <v>1.3333333333333333</v>
      </c>
      <c r="AG8" s="84">
        <f t="shared" si="5"/>
        <v>0.44444444444444442</v>
      </c>
      <c r="AH8" s="85">
        <f t="shared" si="13"/>
        <v>0</v>
      </c>
      <c r="AI8" s="15">
        <f t="shared" si="14"/>
        <v>0.82</v>
      </c>
      <c r="AJ8" s="15">
        <f t="shared" si="14"/>
        <v>10</v>
      </c>
      <c r="AK8" s="15">
        <f t="shared" si="14"/>
        <v>50</v>
      </c>
      <c r="AL8" s="84">
        <f t="shared" si="15"/>
        <v>0.8</v>
      </c>
      <c r="AM8" s="84">
        <f t="shared" si="6"/>
        <v>0.16</v>
      </c>
      <c r="AN8" s="85">
        <f t="shared" si="7"/>
        <v>0</v>
      </c>
      <c r="AO8" s="15">
        <f t="shared" si="16"/>
        <v>0</v>
      </c>
      <c r="AP8" s="15">
        <f t="shared" si="16"/>
        <v>0</v>
      </c>
      <c r="AQ8" s="15">
        <f t="shared" si="16"/>
        <v>0</v>
      </c>
      <c r="AR8" s="53">
        <f>Projeto!C18</f>
        <v>6</v>
      </c>
    </row>
    <row r="9" spans="1:44">
      <c r="F9" s="81"/>
    </row>
  </sheetData>
  <phoneticPr fontId="2" type="noConversion"/>
  <conditionalFormatting sqref="K2:O8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Projeto</vt:lpstr>
      <vt:lpstr>Equipe</vt:lpstr>
      <vt:lpstr>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Leizer Schnitman</dc:creator>
  <cp:lastModifiedBy>Rafael Valadao</cp:lastModifiedBy>
  <dcterms:created xsi:type="dcterms:W3CDTF">2025-10-07T12:12:51Z</dcterms:created>
  <dcterms:modified xsi:type="dcterms:W3CDTF">2026-08-08T21:23:03Z</dcterms:modified>
</cp:coreProperties>
</file>